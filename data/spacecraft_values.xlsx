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on success" sheetId="1" state="visible" r:id="rId1"/>
    <sheet xmlns:r="http://schemas.openxmlformats.org/officeDocument/2006/relationships" name="Summary (check view)" sheetId="2" state="visible" r:id="rId2"/>
    <sheet xmlns:r="http://schemas.openxmlformats.org/officeDocument/2006/relationships" name="Constants" sheetId="3" state="visible" r:id="rId3"/>
    <sheet xmlns:r="http://schemas.openxmlformats.org/officeDocument/2006/relationships" name="Method &amp; Definitions" sheetId="4" state="visible" r:id="rId4"/>
    <sheet xmlns:r="http://schemas.openxmlformats.org/officeDocument/2006/relationships" name="Data" sheetId="5" state="visible" r:id="rId5"/>
  </sheets>
  <definedNames>
    <definedName name="g0">Constants!$B$4</definedName>
    <definedName name="_xlnm._FilterDatabase" localSheetId="1" hidden="1">'Summary (check view)'!$A$4:$L$25</definedName>
    <definedName name="_xlnm._FilterDatabase" localSheetId="4" hidden="1">'Data'!$A$1:$AW$22</definedName>
  </definedNames>
  <calcPr calcId="124519" fullCalcOnLoad="1"/>
</workbook>
</file>

<file path=xl/styles.xml><?xml version="1.0" encoding="utf-8"?>
<styleSheet xmlns="http://schemas.openxmlformats.org/spreadsheetml/2006/main">
  <numFmts count="5">
    <numFmt numFmtId="164" formatCode="0.000E+00"/>
    <numFmt numFmtId="165" formatCode="0.0000"/>
    <numFmt numFmtId="166" formatCode="#,##0.0#####"/>
    <numFmt numFmtId="167" formatCode="#,##0.0"/>
    <numFmt numFmtId="168" formatCode="0.000000000"/>
  </numFmts>
  <fonts count="10">
    <font>
      <name val="Calibri"/>
      <family val="2"/>
      <color theme="1"/>
      <sz val="11"/>
      <scheme val="minor"/>
    </font>
    <font>
      <b val="1"/>
      <sz val="12"/>
    </font>
    <font>
      <b val="1"/>
    </font>
    <font>
      <b val="1"/>
      <color rgb="00FFFFFF"/>
      <sz val="10"/>
    </font>
    <font/>
    <font>
      <b val="1"/>
      <sz val="14"/>
    </font>
    <font>
      <i val="1"/>
      <sz val="9"/>
    </font>
    <font>
      <b val="1"/>
      <sz val="10"/>
    </font>
    <font>
      <sz val="9"/>
    </font>
    <font>
      <b val="1"/>
      <sz val="9"/>
    </font>
  </fonts>
  <fills count="9">
    <fill>
      <patternFill/>
    </fill>
    <fill>
      <patternFill patternType="gray125"/>
    </fill>
    <fill>
      <patternFill patternType="solid">
        <fgColor rgb="001F3864"/>
      </patternFill>
    </fill>
    <fill>
      <patternFill patternType="solid">
        <fgColor rgb="00FFF2CC"/>
      </patternFill>
    </fill>
    <fill>
      <patternFill patternType="solid">
        <fgColor rgb="00C6E0B4"/>
      </patternFill>
    </fill>
    <fill>
      <patternFill patternType="solid">
        <fgColor rgb="00DEEAF6"/>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9">
    <xf numFmtId="0" fontId="0" fillId="0" borderId="0" pivotButton="0" quotePrefix="0" xfId="0"/>
    <xf numFmtId="0" fontId="5" fillId="0" borderId="0" pivotButton="0" quotePrefix="0" xfId="0"/>
    <xf numFmtId="0" fontId="6" fillId="0" borderId="0" pivotButton="0" quotePrefix="0" xfId="0"/>
    <xf numFmtId="0" fontId="3" fillId="2" borderId="0" applyAlignment="1" pivotButton="0" quotePrefix="0" xfId="0">
      <alignment horizontal="center" vertical="center" wrapText="1"/>
    </xf>
    <xf numFmtId="0" fontId="0" fillId="5" borderId="1" applyAlignment="1" pivotButton="0" quotePrefix="0" xfId="0">
      <alignment vertical="center"/>
    </xf>
    <xf numFmtId="0" fontId="7" fillId="5" borderId="1" applyAlignment="1" pivotButton="0" quotePrefix="0" xfId="0">
      <alignment vertical="center"/>
    </xf>
    <xf numFmtId="164" fontId="0" fillId="5" borderId="1" applyAlignment="1" pivotButton="0" quotePrefix="0" xfId="0">
      <alignment horizontal="center" vertical="center"/>
    </xf>
    <xf numFmtId="165" fontId="0" fillId="5" borderId="1" applyAlignment="1" pivotButton="0" quotePrefix="0" xfId="0">
      <alignment horizontal="center" vertical="center"/>
    </xf>
    <xf numFmtId="1" fontId="0" fillId="5" borderId="1" applyAlignment="1" pivotButton="0" quotePrefix="0" xfId="0">
      <alignment horizontal="center" vertical="center"/>
    </xf>
    <xf numFmtId="0" fontId="0" fillId="6" borderId="1" applyAlignment="1" pivotButton="0" quotePrefix="0" xfId="0">
      <alignment vertical="center"/>
    </xf>
    <xf numFmtId="0" fontId="7" fillId="6" borderId="1" applyAlignment="1" pivotButton="0" quotePrefix="0" xfId="0">
      <alignment vertical="center"/>
    </xf>
    <xf numFmtId="164" fontId="0" fillId="6" borderId="1" applyAlignment="1" pivotButton="0" quotePrefix="0" xfId="0">
      <alignment horizontal="center" vertical="center"/>
    </xf>
    <xf numFmtId="165" fontId="0" fillId="6" borderId="1" applyAlignment="1" pivotButton="0" quotePrefix="0" xfId="0">
      <alignment horizontal="center" vertical="center"/>
    </xf>
    <xf numFmtId="1" fontId="0" fillId="6" borderId="1" applyAlignment="1" pivotButton="0" quotePrefix="0" xfId="0">
      <alignment horizontal="center" vertical="center"/>
    </xf>
    <xf numFmtId="0" fontId="0" fillId="3" borderId="1" applyAlignment="1" pivotButton="0" quotePrefix="0" xfId="0">
      <alignment vertical="center"/>
    </xf>
    <xf numFmtId="0" fontId="7" fillId="3" borderId="1" applyAlignment="1" pivotButton="0" quotePrefix="0" xfId="0">
      <alignment vertical="center"/>
    </xf>
    <xf numFmtId="164" fontId="0" fillId="3" borderId="1" applyAlignment="1" pivotButton="0" quotePrefix="0" xfId="0">
      <alignment horizontal="center" vertical="center"/>
    </xf>
    <xf numFmtId="165" fontId="0" fillId="3" borderId="1" applyAlignment="1" pivotButton="0" quotePrefix="0" xfId="0">
      <alignment horizontal="center" vertical="center"/>
    </xf>
    <xf numFmtId="1" fontId="0" fillId="3" borderId="1" applyAlignment="1" pivotButton="0" quotePrefix="0" xfId="0">
      <alignment horizontal="center" vertical="center"/>
    </xf>
    <xf numFmtId="0" fontId="0" fillId="7" borderId="1" applyAlignment="1" pivotButton="0" quotePrefix="0" xfId="0">
      <alignment vertical="center"/>
    </xf>
    <xf numFmtId="0" fontId="7" fillId="7" borderId="1" applyAlignment="1" pivotButton="0" quotePrefix="0" xfId="0">
      <alignment vertical="center"/>
    </xf>
    <xf numFmtId="164" fontId="0" fillId="7" borderId="1" applyAlignment="1" pivotButton="0" quotePrefix="0" xfId="0">
      <alignment horizontal="center" vertical="center"/>
    </xf>
    <xf numFmtId="165" fontId="0" fillId="7" borderId="1" applyAlignment="1" pivotButton="0" quotePrefix="0" xfId="0">
      <alignment horizontal="center" vertical="center"/>
    </xf>
    <xf numFmtId="1" fontId="0" fillId="7" borderId="1" applyAlignment="1" pivotButton="0" quotePrefix="0" xfId="0">
      <alignment horizontal="center" vertical="center"/>
    </xf>
    <xf numFmtId="0" fontId="0" fillId="8" borderId="1" applyAlignment="1" pivotButton="0" quotePrefix="0" xfId="0">
      <alignment vertical="center"/>
    </xf>
    <xf numFmtId="0" fontId="7" fillId="8" borderId="1" applyAlignment="1" pivotButton="0" quotePrefix="0" xfId="0">
      <alignment vertical="center"/>
    </xf>
    <xf numFmtId="164" fontId="0" fillId="8" borderId="1" applyAlignment="1" pivotButton="0" quotePrefix="0" xfId="0">
      <alignment horizontal="center" vertical="center"/>
    </xf>
    <xf numFmtId="165" fontId="0" fillId="8" borderId="1" applyAlignment="1" pivotButton="0" quotePrefix="0" xfId="0">
      <alignment horizontal="center" vertical="center"/>
    </xf>
    <xf numFmtId="1" fontId="0" fillId="8" borderId="1" applyAlignment="1" pivotButton="0" quotePrefix="0" xfId="0">
      <alignment horizontal="center" vertical="center"/>
    </xf>
    <xf numFmtId="0" fontId="8" fillId="0" borderId="0" pivotButton="0" quotePrefix="0" xfId="0"/>
    <xf numFmtId="0" fontId="9"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4" fillId="0" borderId="0" pivotButton="0" quotePrefix="0" xfId="0"/>
    <xf numFmtId="0" fontId="0" fillId="0" borderId="1" applyAlignment="1" pivotButton="0" quotePrefix="0" xfId="0">
      <alignment vertical="top" wrapText="1"/>
    </xf>
    <xf numFmtId="166" fontId="0" fillId="0" borderId="1" applyAlignment="1" pivotButton="0" quotePrefix="0" xfId="0">
      <alignment vertical="top" wrapText="1"/>
    </xf>
    <xf numFmtId="166" fontId="0" fillId="3" borderId="1" applyAlignment="1" pivotButton="0" quotePrefix="0" xfId="0">
      <alignment vertical="top" wrapText="1"/>
    </xf>
    <xf numFmtId="166" fontId="0" fillId="4" borderId="1" applyAlignment="1" pivotButton="0" quotePrefix="0" xfId="0">
      <alignment vertical="top" wrapText="1"/>
    </xf>
    <xf numFmtId="167" fontId="0" fillId="0" borderId="1" applyAlignment="1" pivotButton="0" quotePrefix="0" xfId="0">
      <alignment vertical="top" wrapText="1"/>
    </xf>
    <xf numFmtId="167" fontId="0" fillId="3" borderId="1" applyAlignment="1" pivotButton="0" quotePrefix="0" xfId="0">
      <alignment vertical="top" wrapText="1"/>
    </xf>
    <xf numFmtId="164" fontId="0" fillId="4" borderId="1" applyAlignment="1" pivotButton="0" quotePrefix="0" xfId="0">
      <alignment vertical="top" wrapText="1"/>
    </xf>
    <xf numFmtId="165" fontId="0" fillId="4" borderId="1" applyAlignment="1" pivotButton="0" quotePrefix="0" xfId="0">
      <alignment vertical="top" wrapText="1"/>
    </xf>
    <xf numFmtId="165" fontId="0" fillId="3" borderId="1" applyAlignment="1" pivotButton="0" quotePrefix="0" xfId="0">
      <alignment vertical="top" wrapText="1"/>
    </xf>
    <xf numFmtId="3" fontId="0" fillId="3" borderId="1" applyAlignment="1" pivotButton="0" quotePrefix="0" xfId="0">
      <alignment vertical="top" wrapText="1"/>
    </xf>
    <xf numFmtId="1" fontId="0" fillId="0" borderId="1" applyAlignment="1" pivotButton="0" quotePrefix="0" xfId="0">
      <alignment horizontal="center" vertical="top" wrapText="1"/>
    </xf>
    <xf numFmtId="1" fontId="0" fillId="3" borderId="1" applyAlignment="1" pivotButton="0" quotePrefix="0" xfId="0">
      <alignment horizontal="center" vertical="top" wrapText="1"/>
    </xf>
    <xf numFmtId="1" fontId="0" fillId="4" borderId="1" applyAlignment="1" pivotButton="0" quotePrefix="0" xfId="0">
      <alignment horizontal="center" vertical="top" wrapText="1"/>
    </xf>
    <xf numFmtId="0" fontId="2" fillId="0" borderId="0" applyAlignment="1" pivotButton="0" quotePrefix="0" xfId="0">
      <alignment vertical="bottom" wrapText="1"/>
    </xf>
    <xf numFmtId="1" fontId="0" fillId="0" borderId="0" pivotButton="0" quotePrefix="0" xfId="0"/>
    <xf numFmtId="168" fontId="0" fillId="0" borderId="0" pivotButton="0" quotePrefix="0" xfId="0"/>
    <xf numFmtId="164" fontId="0" fillId="5" borderId="1" applyAlignment="1" pivotButton="0" quotePrefix="0" xfId="0">
      <alignment horizontal="center" vertical="center"/>
    </xf>
    <xf numFmtId="165" fontId="0" fillId="5" borderId="1" applyAlignment="1" pivotButton="0" quotePrefix="0" xfId="0">
      <alignment horizontal="center" vertical="center"/>
    </xf>
    <xf numFmtId="164" fontId="0" fillId="6" borderId="1" applyAlignment="1" pivotButton="0" quotePrefix="0" xfId="0">
      <alignment horizontal="center" vertical="center"/>
    </xf>
    <xf numFmtId="165" fontId="0" fillId="6" borderId="1" applyAlignment="1" pivotButton="0" quotePrefix="0" xfId="0">
      <alignment horizontal="center" vertical="center"/>
    </xf>
    <xf numFmtId="164" fontId="0" fillId="3" borderId="1" applyAlignment="1" pivotButton="0" quotePrefix="0" xfId="0">
      <alignment horizontal="center" vertical="center"/>
    </xf>
    <xf numFmtId="165" fontId="0" fillId="3" borderId="1" applyAlignment="1" pivotButton="0" quotePrefix="0" xfId="0">
      <alignment horizontal="center" vertical="center"/>
    </xf>
    <xf numFmtId="164" fontId="0" fillId="7" borderId="1" applyAlignment="1" pivotButton="0" quotePrefix="0" xfId="0">
      <alignment horizontal="center" vertical="center"/>
    </xf>
    <xf numFmtId="165" fontId="0" fillId="7" borderId="1" applyAlignment="1" pivotButton="0" quotePrefix="0" xfId="0">
      <alignment horizontal="center" vertical="center"/>
    </xf>
    <xf numFmtId="164" fontId="0" fillId="8" borderId="1" applyAlignment="1" pivotButton="0" quotePrefix="0" xfId="0">
      <alignment horizontal="center" vertical="center"/>
    </xf>
    <xf numFmtId="165" fontId="0" fillId="8" borderId="1" applyAlignment="1" pivotButton="0" quotePrefix="0" xfId="0">
      <alignment horizontal="center" vertical="center"/>
    </xf>
    <xf numFmtId="166" fontId="0" fillId="0" borderId="1" applyAlignment="1" pivotButton="0" quotePrefix="0" xfId="0">
      <alignment vertical="top" wrapText="1"/>
    </xf>
    <xf numFmtId="166" fontId="0" fillId="3" borderId="1" applyAlignment="1" pivotButton="0" quotePrefix="0" xfId="0">
      <alignment vertical="top" wrapText="1"/>
    </xf>
    <xf numFmtId="166" fontId="0" fillId="4" borderId="1" applyAlignment="1" pivotButton="0" quotePrefix="0" xfId="0">
      <alignment vertical="top" wrapText="1"/>
    </xf>
    <xf numFmtId="167" fontId="0" fillId="0" borderId="1" applyAlignment="1" pivotButton="0" quotePrefix="0" xfId="0">
      <alignment vertical="top" wrapText="1"/>
    </xf>
    <xf numFmtId="167" fontId="0" fillId="3" borderId="1" applyAlignment="1" pivotButton="0" quotePrefix="0" xfId="0">
      <alignment vertical="top" wrapText="1"/>
    </xf>
    <xf numFmtId="164" fontId="0" fillId="4" borderId="1" applyAlignment="1" pivotButton="0" quotePrefix="0" xfId="0">
      <alignment vertical="top" wrapText="1"/>
    </xf>
    <xf numFmtId="165" fontId="0" fillId="4" borderId="1" applyAlignment="1" pivotButton="0" quotePrefix="0" xfId="0">
      <alignment vertical="top" wrapText="1"/>
    </xf>
    <xf numFmtId="165"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48" t="inlineStr">
        <is>
          <t>Spacecraft</t>
        </is>
      </c>
      <c r="B1" s="48" t="inlineStr">
        <is>
          <t>TVC engines, N</t>
        </is>
      </c>
      <c r="C1" s="48" t="inlineStr">
        <is>
          <t>TVC failure rate, each</t>
        </is>
      </c>
      <c r="D1" s="48" t="inlineStr">
        <is>
          <t>RCS thrusters, N</t>
        </is>
      </c>
      <c r="E1" s="48" t="inlineStr">
        <is>
          <t>RCS failure rate, each</t>
        </is>
      </c>
      <c r="F1" s="48" t="inlineStr">
        <is>
          <t>Max RCS failures tolerated</t>
        </is>
      </c>
      <c r="G1" s="48" t="inlineStr">
        <is>
          <t>Max TVC failures tolerated</t>
        </is>
      </c>
      <c r="H1" s="48" t="inlineStr">
        <is>
          <t>TVC ensemble success</t>
        </is>
      </c>
      <c r="I1" s="48" t="inlineStr">
        <is>
          <t>RCS ensemble success</t>
        </is>
      </c>
      <c r="J1" s="48" t="inlineStr">
        <is>
          <t>Mission success</t>
        </is>
      </c>
    </row>
    <row r="2">
      <c r="A2" t="inlineStr">
        <is>
          <t>Ariane 5 ECA</t>
        </is>
      </c>
      <c r="B2" s="49" t="n">
        <v>1</v>
      </c>
      <c r="C2" s="50" t="n">
        <v>0.01</v>
      </c>
      <c r="D2" s="49" t="n"/>
      <c r="E2" s="50" t="n"/>
      <c r="F2" s="49" t="n"/>
      <c r="G2" s="49" t="n">
        <v>0</v>
      </c>
      <c r="H2" s="50" t="n">
        <v>0.99</v>
      </c>
      <c r="I2" s="50" t="n"/>
      <c r="J2" s="50" t="n">
        <v>0.99</v>
      </c>
    </row>
    <row r="3">
      <c r="A3" t="inlineStr">
        <is>
          <t>Delta IV Heavy</t>
        </is>
      </c>
      <c r="B3" s="49" t="n">
        <v>3</v>
      </c>
      <c r="C3" s="50" t="n">
        <v>0.01</v>
      </c>
      <c r="D3" s="49" t="n"/>
      <c r="E3" s="50" t="n"/>
      <c r="F3" s="49" t="n"/>
      <c r="G3" s="49" t="n">
        <v>0</v>
      </c>
      <c r="H3" s="50" t="n">
        <v>0.970299</v>
      </c>
      <c r="I3" s="50" t="n"/>
      <c r="J3" s="50" t="n">
        <v>0.970299</v>
      </c>
    </row>
    <row r="4">
      <c r="A4" t="inlineStr">
        <is>
          <t>Vega</t>
        </is>
      </c>
      <c r="B4" s="49" t="n">
        <v>1</v>
      </c>
      <c r="C4" s="50" t="n">
        <v>0.015</v>
      </c>
      <c r="D4" s="49" t="n"/>
      <c r="E4" s="50" t="n"/>
      <c r="F4" s="49" t="n"/>
      <c r="G4" s="49" t="n">
        <v>0</v>
      </c>
      <c r="H4" s="50" t="n">
        <v>0.985</v>
      </c>
      <c r="I4" s="50" t="n"/>
      <c r="J4" s="50" t="n">
        <v>0.985</v>
      </c>
    </row>
    <row r="5">
      <c r="A5" t="inlineStr">
        <is>
          <t>Vega-C</t>
        </is>
      </c>
      <c r="B5" s="49" t="n">
        <v>1</v>
      </c>
      <c r="C5" s="50" t="n">
        <v>0.015</v>
      </c>
      <c r="D5" s="49" t="n"/>
      <c r="E5" s="50" t="n"/>
      <c r="F5" s="49" t="n"/>
      <c r="G5" s="49" t="n">
        <v>0</v>
      </c>
      <c r="H5" s="50" t="n">
        <v>0.985</v>
      </c>
      <c r="I5" s="50" t="n"/>
      <c r="J5" s="50" t="n">
        <v>0.985</v>
      </c>
    </row>
    <row r="6">
      <c r="A6" t="inlineStr">
        <is>
          <t>Apollo Command &amp; Service Module</t>
        </is>
      </c>
      <c r="B6" s="49" t="n">
        <v>1</v>
      </c>
      <c r="C6" s="50" t="n">
        <v>0.01</v>
      </c>
      <c r="D6" s="49" t="n">
        <v>16</v>
      </c>
      <c r="E6" s="50" t="n">
        <v>0.01</v>
      </c>
      <c r="F6" s="49" t="n">
        <v>1</v>
      </c>
      <c r="G6" s="49" t="n">
        <v>0</v>
      </c>
      <c r="H6" s="50" t="n">
        <v>0.99</v>
      </c>
      <c r="I6" s="50" t="n">
        <v>0.9995997710803205</v>
      </c>
      <c r="J6" s="50" t="n">
        <v>0.99</v>
      </c>
    </row>
    <row r="7">
      <c r="A7" t="inlineStr">
        <is>
          <t>Apollo Lunar Module</t>
        </is>
      </c>
      <c r="B7" s="49" t="n">
        <v>1</v>
      </c>
      <c r="C7" s="50" t="n">
        <v>0.01</v>
      </c>
      <c r="D7" s="49" t="n">
        <v>16</v>
      </c>
      <c r="E7" s="50" t="n">
        <v>0.01</v>
      </c>
      <c r="F7" s="49" t="n">
        <v>1</v>
      </c>
      <c r="G7" s="49" t="n">
        <v>0</v>
      </c>
      <c r="H7" s="50" t="n">
        <v>0.99</v>
      </c>
      <c r="I7" s="50" t="n">
        <v>0.9995997710803205</v>
      </c>
      <c r="J7" s="50" t="n">
        <v>0.99</v>
      </c>
    </row>
    <row r="8">
      <c r="A8" t="inlineStr">
        <is>
          <t>Crew Dragon (Dragon 2)</t>
        </is>
      </c>
      <c r="B8" s="49" t="n"/>
      <c r="C8" s="50" t="n"/>
      <c r="D8" s="49" t="n">
        <v>16</v>
      </c>
      <c r="E8" s="50" t="n">
        <v>0.01</v>
      </c>
      <c r="F8" s="49" t="n">
        <v>1</v>
      </c>
      <c r="G8" s="49" t="n"/>
      <c r="H8" s="50" t="n"/>
      <c r="I8" s="50" t="n">
        <v>0.9984207285155099</v>
      </c>
      <c r="J8" s="50" t="n">
        <v>0.9984207285155099</v>
      </c>
    </row>
    <row r="9">
      <c r="A9" t="inlineStr">
        <is>
          <t>Orion (CM + European Service Module)</t>
        </is>
      </c>
      <c r="B9" s="49" t="n">
        <v>1</v>
      </c>
      <c r="C9" s="50" t="n">
        <v>0.01</v>
      </c>
      <c r="D9" s="49" t="n">
        <v>24</v>
      </c>
      <c r="E9" s="50" t="n">
        <v>0.01</v>
      </c>
      <c r="F9" s="49" t="n">
        <v>3</v>
      </c>
      <c r="G9" s="49" t="n">
        <v>0</v>
      </c>
      <c r="H9" s="50" t="n">
        <v>0.99</v>
      </c>
      <c r="I9" s="50" t="n">
        <v>0.9999963240750266</v>
      </c>
      <c r="J9" s="50" t="n">
        <v>0.99</v>
      </c>
    </row>
    <row r="10">
      <c r="A10" t="inlineStr">
        <is>
          <t>Cassini (Cassini-Huygens)</t>
        </is>
      </c>
      <c r="B10" s="49" t="n">
        <v>2</v>
      </c>
      <c r="C10" s="50" t="n">
        <v>0.01</v>
      </c>
      <c r="D10" s="49" t="n">
        <v>16</v>
      </c>
      <c r="E10" s="50" t="n">
        <v>0.005</v>
      </c>
      <c r="F10" s="49" t="n">
        <v>3</v>
      </c>
      <c r="G10" s="49" t="n">
        <v>1</v>
      </c>
      <c r="H10" s="50" t="n">
        <v>0.9999</v>
      </c>
      <c r="I10" s="50" t="n">
        <v>0.9999999840198219</v>
      </c>
      <c r="J10" s="50" t="n">
        <v>0.9999</v>
      </c>
    </row>
    <row r="11">
      <c r="A11" t="inlineStr">
        <is>
          <t>Europa Clipper</t>
        </is>
      </c>
      <c r="B11" s="49" t="n"/>
      <c r="C11" s="50" t="n"/>
      <c r="D11" s="49" t="n">
        <v>24</v>
      </c>
      <c r="E11" s="50" t="n">
        <v>0.01</v>
      </c>
      <c r="F11" s="49" t="n">
        <v>3</v>
      </c>
      <c r="G11" s="49" t="n"/>
      <c r="H11" s="50" t="n"/>
      <c r="I11" s="50" t="n">
        <v>0.9999094623582535</v>
      </c>
      <c r="J11" s="50" t="n">
        <v>0.9999094623582535</v>
      </c>
    </row>
    <row r="12">
      <c r="A12" t="inlineStr">
        <is>
          <t>Juno</t>
        </is>
      </c>
      <c r="B12" s="49" t="n">
        <v>1</v>
      </c>
      <c r="C12" s="50" t="n">
        <v>0.01</v>
      </c>
      <c r="D12" s="49" t="n">
        <v>12</v>
      </c>
      <c r="E12" s="50" t="n">
        <v>0.005</v>
      </c>
      <c r="F12" s="49" t="n">
        <v>2</v>
      </c>
      <c r="G12" s="49" t="n">
        <v>0</v>
      </c>
      <c r="H12" s="50" t="n">
        <v>0.99</v>
      </c>
      <c r="I12" s="50" t="n">
        <v>0.9999734134184508</v>
      </c>
      <c r="J12" s="50" t="n">
        <v>0.99</v>
      </c>
    </row>
    <row r="13">
      <c r="A13" t="inlineStr">
        <is>
          <t>New Horizons</t>
        </is>
      </c>
      <c r="B13" s="49" t="n">
        <v>4</v>
      </c>
      <c r="C13" s="50" t="n">
        <v>0.005</v>
      </c>
      <c r="D13" s="49" t="n">
        <v>12</v>
      </c>
      <c r="E13" s="50" t="n">
        <v>0.005</v>
      </c>
      <c r="F13" s="49" t="n">
        <v>1</v>
      </c>
      <c r="G13" s="49" t="n">
        <v>3</v>
      </c>
      <c r="H13" s="50" t="n">
        <v>0.9999999993749999</v>
      </c>
      <c r="I13" s="50" t="n">
        <v>0.9998500087944048</v>
      </c>
      <c r="J13" s="50" t="n">
        <v>0.9998500087944048</v>
      </c>
    </row>
    <row r="14">
      <c r="A14" t="inlineStr">
        <is>
          <t>Voyager 1</t>
        </is>
      </c>
      <c r="B14" s="49" t="n">
        <v>4</v>
      </c>
      <c r="C14" s="50" t="n">
        <v>0.005</v>
      </c>
      <c r="D14" s="49" t="n">
        <v>16</v>
      </c>
      <c r="E14" s="50" t="n">
        <v>0.005</v>
      </c>
      <c r="F14" s="49" t="n">
        <v>3</v>
      </c>
      <c r="G14" s="49" t="n">
        <v>3</v>
      </c>
      <c r="H14" s="50" t="n">
        <v>0.9999999993749999</v>
      </c>
      <c r="I14" s="50" t="n">
        <v>0.9999999840198219</v>
      </c>
      <c r="J14" s="50" t="n">
        <v>0.9999999840198219</v>
      </c>
    </row>
    <row r="15">
      <c r="A15" t="inlineStr">
        <is>
          <t>GOES-16 (GOES-R)</t>
        </is>
      </c>
      <c r="B15" s="49" t="n"/>
      <c r="C15" s="50" t="n"/>
      <c r="D15" s="49" t="n"/>
      <c r="E15" s="50" t="n"/>
      <c r="F15" s="49" t="n"/>
      <c r="G15" s="49" t="n"/>
      <c r="H15" s="50" t="n"/>
      <c r="I15" s="50" t="n"/>
      <c r="J15" s="50" t="n"/>
    </row>
    <row r="16">
      <c r="A16" t="inlineStr">
        <is>
          <t>GOES-19 (GOES-U)</t>
        </is>
      </c>
      <c r="B16" s="49" t="n"/>
      <c r="C16" s="50" t="n"/>
      <c r="D16" s="49" t="n"/>
      <c r="E16" s="50" t="n"/>
      <c r="F16" s="49" t="n"/>
      <c r="G16" s="49" t="n"/>
      <c r="H16" s="50" t="n"/>
      <c r="I16" s="50" t="n"/>
      <c r="J16" s="50" t="n"/>
    </row>
    <row r="17">
      <c r="A17" t="inlineStr">
        <is>
          <t>Meteosat Second Generation (MSG)</t>
        </is>
      </c>
      <c r="B17" s="49" t="n">
        <v>2</v>
      </c>
      <c r="C17" s="50" t="n">
        <v>0.01</v>
      </c>
      <c r="D17" s="49" t="n">
        <v>6</v>
      </c>
      <c r="E17" s="50" t="n">
        <v>0.01</v>
      </c>
      <c r="F17" s="49" t="n">
        <v>0</v>
      </c>
      <c r="G17" s="49" t="n">
        <v>1</v>
      </c>
      <c r="H17" s="50" t="n">
        <v>0.9999</v>
      </c>
      <c r="I17" s="50" t="n">
        <v>0.979903989801</v>
      </c>
      <c r="J17" s="50" t="n">
        <v>0.979903989801</v>
      </c>
    </row>
    <row r="18">
      <c r="A18" t="inlineStr">
        <is>
          <t>Solar Dynamics Observatory (SDO)</t>
        </is>
      </c>
      <c r="B18" s="49" t="n">
        <v>1</v>
      </c>
      <c r="C18" s="50" t="n">
        <v>0.01</v>
      </c>
      <c r="D18" s="49" t="n">
        <v>8</v>
      </c>
      <c r="E18" s="50" t="n">
        <v>0.01</v>
      </c>
      <c r="F18" s="49" t="n">
        <v>1</v>
      </c>
      <c r="G18" s="49" t="n">
        <v>0</v>
      </c>
      <c r="H18" s="50" t="n">
        <v>0.99</v>
      </c>
      <c r="I18" s="50" t="n">
        <v>0.9993070590010299</v>
      </c>
      <c r="J18" s="50" t="n">
        <v>0.99</v>
      </c>
    </row>
    <row r="19">
      <c r="A19" t="inlineStr">
        <is>
          <t>GRACE-FO (per satellite)</t>
        </is>
      </c>
      <c r="B19" s="49" t="n">
        <v>2</v>
      </c>
      <c r="C19" s="50" t="n">
        <v>0.003</v>
      </c>
      <c r="D19" s="49" t="n">
        <v>12</v>
      </c>
      <c r="E19" s="50" t="n">
        <v>0.003</v>
      </c>
      <c r="F19" s="49" t="n">
        <v>1</v>
      </c>
      <c r="G19" s="49" t="n">
        <v>1</v>
      </c>
      <c r="H19" s="50" t="n">
        <v>0.9999910000000001</v>
      </c>
      <c r="I19" s="50" t="n">
        <v>0.9999460011692546</v>
      </c>
      <c r="J19" s="50" t="n">
        <v>0.9999460011692546</v>
      </c>
    </row>
    <row r="20">
      <c r="A20" t="inlineStr">
        <is>
          <t>SMAP</t>
        </is>
      </c>
      <c r="B20" s="49" t="n"/>
      <c r="C20" s="50" t="n"/>
      <c r="D20" s="49" t="n">
        <v>8</v>
      </c>
      <c r="E20" s="50" t="n">
        <v>0.005</v>
      </c>
      <c r="F20" s="49" t="n">
        <v>1</v>
      </c>
      <c r="G20" s="49" t="n"/>
      <c r="H20" s="50" t="n"/>
      <c r="I20" s="50" t="n">
        <v>0.9998258787187658</v>
      </c>
      <c r="J20" s="50" t="n">
        <v>0.9998258787187658</v>
      </c>
    </row>
    <row r="21">
      <c r="A21" t="inlineStr">
        <is>
          <t>Sentinel-1A</t>
        </is>
      </c>
      <c r="B21" s="49" t="n"/>
      <c r="C21" s="50" t="n"/>
      <c r="D21" s="49" t="n"/>
      <c r="E21" s="50" t="n"/>
      <c r="F21" s="49" t="n"/>
      <c r="G21" s="49" t="n"/>
      <c r="H21" s="50" t="n"/>
      <c r="I21" s="50" t="n"/>
      <c r="J21" s="50" t="n"/>
    </row>
    <row r="22">
      <c r="A22" t="inlineStr">
        <is>
          <t>Sentinel-3A</t>
        </is>
      </c>
      <c r="B22" s="49" t="n"/>
      <c r="C22" s="50" t="n"/>
      <c r="D22" s="49" t="n">
        <v>8</v>
      </c>
      <c r="E22" s="50" t="n">
        <v>0.005</v>
      </c>
      <c r="F22" s="49" t="n">
        <v>1</v>
      </c>
      <c r="G22" s="49" t="n"/>
      <c r="H22" s="50" t="n"/>
      <c r="I22" s="50" t="n">
        <v>0.9998258787187658</v>
      </c>
      <c r="J22" s="50" t="n">
        <v>0.9998258787187658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4" customWidth="1" min="2" max="2"/>
    <col width="15" customWidth="1" min="3" max="3"/>
    <col width="13" customWidth="1" min="4" max="4"/>
    <col width="10" customWidth="1" min="5" max="5"/>
    <col width="10" customWidth="1" min="6" max="6"/>
    <col width="12" customWidth="1" min="7" max="7"/>
    <col width="12" customWidth="1" min="8" max="8"/>
    <col width="12" customWidth="1" min="9" max="9"/>
    <col width="12" customWidth="1" min="10" max="10"/>
    <col width="10" customWidth="1" min="11" max="11"/>
    <col width="12" customWidth="1" min="12" max="12"/>
  </cols>
  <sheetData>
    <row r="1">
      <c r="A1" s="1" t="inlineStr">
        <is>
          <t>SUMMARY / CHECK VIEW</t>
        </is>
      </c>
    </row>
    <row r="2">
      <c r="A2" s="2" t="inlineStr">
        <is>
          <t>Every cell below is a live formula pointing at the Data sheet - nothing is retyped, so this view cannot disagree with the source. Data sheet row = the row number here + 1.</t>
        </is>
      </c>
    </row>
    <row r="4" ht="58" customHeight="1">
      <c r="A4" s="3" t="inlineStr">
        <is>
          <t>Category</t>
        </is>
      </c>
      <c r="B4" s="3" t="inlineStr">
        <is>
          <t>Spacecraft</t>
        </is>
      </c>
      <c r="C4" s="3" t="inlineStr">
        <is>
          <t>THRUST-TO-WEIGHT RATIO [-]</t>
        </is>
      </c>
      <c r="D4" s="3" t="inlineStr">
        <is>
          <t>Propellant mass fraction [-]</t>
        </is>
      </c>
      <c r="E4" s="3" t="inlineStr">
        <is>
          <t>Attitude units N</t>
        </is>
      </c>
      <c r="F4" s="3" t="inlineStr">
        <is>
          <t>Control DOF m</t>
        </is>
      </c>
      <c r="G4" s="3" t="inlineStr">
        <is>
          <t>Redundancy BEST (max failures)</t>
        </is>
      </c>
      <c r="H4" s="3" t="inlineStr">
        <is>
          <t>Redundancy WORST (guaranteed)</t>
        </is>
      </c>
      <c r="I4" s="3" t="inlineStr">
        <is>
          <t>Engine-out @ T/W&gt;=1.0 (boosters)</t>
        </is>
      </c>
      <c r="J4" s="3" t="inlineStr">
        <is>
          <t>Engine-out @ T/W&gt;=1.2 (boosters)</t>
        </is>
      </c>
      <c r="K4" s="3" t="inlineStr">
        <is>
          <t>Propulsive units</t>
        </is>
      </c>
      <c r="L4" s="3" t="inlineStr">
        <is>
          <t>PROPULSIVE redundancy (units-1)</t>
        </is>
      </c>
    </row>
    <row r="5" ht="17" customHeight="1">
      <c r="A5" s="4">
        <f>Data!A2</f>
        <v/>
      </c>
      <c r="B5" s="5">
        <f>Data!B2</f>
        <v/>
      </c>
      <c r="C5" s="51">
        <f>Data!Z2</f>
        <v/>
      </c>
      <c r="D5" s="52">
        <f>Data!AA2</f>
        <v/>
      </c>
      <c r="E5" s="8">
        <f>Data!AK2</f>
        <v/>
      </c>
      <c r="F5" s="8">
        <f>Data!AM2</f>
        <v/>
      </c>
      <c r="G5" s="8">
        <f>Data!AO2</f>
        <v/>
      </c>
      <c r="H5" s="8">
        <f>Data!AP2</f>
        <v/>
      </c>
      <c r="I5" s="8">
        <f>IF(LEFT(Data!AQ2,3)="n/a","n/a",Data!AQ2)</f>
        <v/>
      </c>
      <c r="J5" s="8">
        <f>IF(LEFT(Data!AR2,3)="n/a","n/a",Data!AR2)</f>
        <v/>
      </c>
      <c r="K5" s="8">
        <f>Data!AS2</f>
        <v/>
      </c>
      <c r="L5" s="8">
        <f>Data!AU2</f>
        <v/>
      </c>
    </row>
    <row r="6" ht="17" customHeight="1">
      <c r="A6" s="4">
        <f>Data!A3</f>
        <v/>
      </c>
      <c r="B6" s="5">
        <f>Data!B3</f>
        <v/>
      </c>
      <c r="C6" s="51">
        <f>Data!Z3</f>
        <v/>
      </c>
      <c r="D6" s="52">
        <f>Data!AA3</f>
        <v/>
      </c>
      <c r="E6" s="8">
        <f>Data!AK3</f>
        <v/>
      </c>
      <c r="F6" s="8">
        <f>Data!AM3</f>
        <v/>
      </c>
      <c r="G6" s="8">
        <f>Data!AO3</f>
        <v/>
      </c>
      <c r="H6" s="8">
        <f>Data!AP3</f>
        <v/>
      </c>
      <c r="I6" s="8">
        <f>IF(LEFT(Data!AQ3,3)="n/a","n/a",Data!AQ3)</f>
        <v/>
      </c>
      <c r="J6" s="8">
        <f>IF(LEFT(Data!AR3,3)="n/a","n/a",Data!AR3)</f>
        <v/>
      </c>
      <c r="K6" s="8">
        <f>Data!AS3</f>
        <v/>
      </c>
      <c r="L6" s="8">
        <f>Data!AU3</f>
        <v/>
      </c>
    </row>
    <row r="7" ht="17" customHeight="1">
      <c r="A7" s="4">
        <f>Data!A4</f>
        <v/>
      </c>
      <c r="B7" s="5">
        <f>Data!B4</f>
        <v/>
      </c>
      <c r="C7" s="51">
        <f>Data!Z4</f>
        <v/>
      </c>
      <c r="D7" s="52">
        <f>Data!AA4</f>
        <v/>
      </c>
      <c r="E7" s="8">
        <f>Data!AK4</f>
        <v/>
      </c>
      <c r="F7" s="8">
        <f>Data!AM4</f>
        <v/>
      </c>
      <c r="G7" s="8">
        <f>Data!AO4</f>
        <v/>
      </c>
      <c r="H7" s="8">
        <f>Data!AP4</f>
        <v/>
      </c>
      <c r="I7" s="8">
        <f>IF(LEFT(Data!AQ4,3)="n/a","n/a",Data!AQ4)</f>
        <v/>
      </c>
      <c r="J7" s="8">
        <f>IF(LEFT(Data!AR4,3)="n/a","n/a",Data!AR4)</f>
        <v/>
      </c>
      <c r="K7" s="8">
        <f>Data!AS4</f>
        <v/>
      </c>
      <c r="L7" s="8">
        <f>Data!AU4</f>
        <v/>
      </c>
    </row>
    <row r="8" ht="17" customHeight="1">
      <c r="A8" s="4">
        <f>Data!A5</f>
        <v/>
      </c>
      <c r="B8" s="5">
        <f>Data!B5</f>
        <v/>
      </c>
      <c r="C8" s="51">
        <f>Data!Z5</f>
        <v/>
      </c>
      <c r="D8" s="52">
        <f>Data!AA5</f>
        <v/>
      </c>
      <c r="E8" s="8">
        <f>Data!AK5</f>
        <v/>
      </c>
      <c r="F8" s="8">
        <f>Data!AM5</f>
        <v/>
      </c>
      <c r="G8" s="8">
        <f>Data!AO5</f>
        <v/>
      </c>
      <c r="H8" s="8">
        <f>Data!AP5</f>
        <v/>
      </c>
      <c r="I8" s="8">
        <f>IF(LEFT(Data!AQ5,3)="n/a","n/a",Data!AQ5)</f>
        <v/>
      </c>
      <c r="J8" s="8">
        <f>IF(LEFT(Data!AR5,3)="n/a","n/a",Data!AR5)</f>
        <v/>
      </c>
      <c r="K8" s="8">
        <f>Data!AS5</f>
        <v/>
      </c>
      <c r="L8" s="8">
        <f>Data!AU5</f>
        <v/>
      </c>
    </row>
    <row r="9" ht="17" customHeight="1">
      <c r="A9" s="9">
        <f>Data!A6</f>
        <v/>
      </c>
      <c r="B9" s="10">
        <f>Data!B6</f>
        <v/>
      </c>
      <c r="C9" s="53">
        <f>Data!Z6</f>
        <v/>
      </c>
      <c r="D9" s="54">
        <f>Data!AA6</f>
        <v/>
      </c>
      <c r="E9" s="13">
        <f>Data!AK6</f>
        <v/>
      </c>
      <c r="F9" s="13">
        <f>Data!AM6</f>
        <v/>
      </c>
      <c r="G9" s="13">
        <f>Data!AO6</f>
        <v/>
      </c>
      <c r="H9" s="13">
        <f>Data!AP6</f>
        <v/>
      </c>
      <c r="I9" s="13">
        <f>IF(LEFT(Data!AQ6,3)="n/a","n/a",Data!AQ6)</f>
        <v/>
      </c>
      <c r="J9" s="13">
        <f>IF(LEFT(Data!AR6,3)="n/a","n/a",Data!AR6)</f>
        <v/>
      </c>
      <c r="K9" s="13">
        <f>Data!AS6</f>
        <v/>
      </c>
      <c r="L9" s="13">
        <f>Data!AU6</f>
        <v/>
      </c>
    </row>
    <row r="10" ht="17" customHeight="1">
      <c r="A10" s="9">
        <f>Data!A7</f>
        <v/>
      </c>
      <c r="B10" s="10">
        <f>Data!B7</f>
        <v/>
      </c>
      <c r="C10" s="53">
        <f>Data!Z7</f>
        <v/>
      </c>
      <c r="D10" s="54">
        <f>Data!AA7</f>
        <v/>
      </c>
      <c r="E10" s="13">
        <f>Data!AK7</f>
        <v/>
      </c>
      <c r="F10" s="13">
        <f>Data!AM7</f>
        <v/>
      </c>
      <c r="G10" s="13">
        <f>Data!AO7</f>
        <v/>
      </c>
      <c r="H10" s="13">
        <f>Data!AP7</f>
        <v/>
      </c>
      <c r="I10" s="13">
        <f>IF(LEFT(Data!AQ7,3)="n/a","n/a",Data!AQ7)</f>
        <v/>
      </c>
      <c r="J10" s="13">
        <f>IF(LEFT(Data!AR7,3)="n/a","n/a",Data!AR7)</f>
        <v/>
      </c>
      <c r="K10" s="13">
        <f>Data!AS7</f>
        <v/>
      </c>
      <c r="L10" s="13">
        <f>Data!AU7</f>
        <v/>
      </c>
    </row>
    <row r="11" ht="17" customHeight="1">
      <c r="A11" s="9">
        <f>Data!A8</f>
        <v/>
      </c>
      <c r="B11" s="10">
        <f>Data!B8</f>
        <v/>
      </c>
      <c r="C11" s="53">
        <f>Data!Z8</f>
        <v/>
      </c>
      <c r="D11" s="54">
        <f>Data!AA8</f>
        <v/>
      </c>
      <c r="E11" s="13">
        <f>Data!AK8</f>
        <v/>
      </c>
      <c r="F11" s="13">
        <f>Data!AM8</f>
        <v/>
      </c>
      <c r="G11" s="13">
        <f>Data!AO8</f>
        <v/>
      </c>
      <c r="H11" s="13">
        <f>Data!AP8</f>
        <v/>
      </c>
      <c r="I11" s="13">
        <f>IF(LEFT(Data!AQ8,3)="n/a","n/a",Data!AQ8)</f>
        <v/>
      </c>
      <c r="J11" s="13">
        <f>IF(LEFT(Data!AR8,3)="n/a","n/a",Data!AR8)</f>
        <v/>
      </c>
      <c r="K11" s="13">
        <f>Data!AS8</f>
        <v/>
      </c>
      <c r="L11" s="13">
        <f>Data!AU8</f>
        <v/>
      </c>
    </row>
    <row r="12" ht="17" customHeight="1">
      <c r="A12" s="9">
        <f>Data!A9</f>
        <v/>
      </c>
      <c r="B12" s="10">
        <f>Data!B9</f>
        <v/>
      </c>
      <c r="C12" s="53">
        <f>Data!Z9</f>
        <v/>
      </c>
      <c r="D12" s="54">
        <f>Data!AA9</f>
        <v/>
      </c>
      <c r="E12" s="13">
        <f>Data!AK9</f>
        <v/>
      </c>
      <c r="F12" s="13">
        <f>Data!AM9</f>
        <v/>
      </c>
      <c r="G12" s="13">
        <f>Data!AO9</f>
        <v/>
      </c>
      <c r="H12" s="13">
        <f>Data!AP9</f>
        <v/>
      </c>
      <c r="I12" s="13">
        <f>IF(LEFT(Data!AQ9,3)="n/a","n/a",Data!AQ9)</f>
        <v/>
      </c>
      <c r="J12" s="13">
        <f>IF(LEFT(Data!AR9,3)="n/a","n/a",Data!AR9)</f>
        <v/>
      </c>
      <c r="K12" s="13">
        <f>Data!AS9</f>
        <v/>
      </c>
      <c r="L12" s="13">
        <f>Data!AU9</f>
        <v/>
      </c>
    </row>
    <row r="13" ht="17" customHeight="1">
      <c r="A13" s="14">
        <f>Data!A10</f>
        <v/>
      </c>
      <c r="B13" s="15">
        <f>Data!B10</f>
        <v/>
      </c>
      <c r="C13" s="55">
        <f>Data!Z10</f>
        <v/>
      </c>
      <c r="D13" s="56">
        <f>Data!AA10</f>
        <v/>
      </c>
      <c r="E13" s="18">
        <f>Data!AK10</f>
        <v/>
      </c>
      <c r="F13" s="18">
        <f>Data!AM10</f>
        <v/>
      </c>
      <c r="G13" s="18">
        <f>Data!AO10</f>
        <v/>
      </c>
      <c r="H13" s="18">
        <f>Data!AP10</f>
        <v/>
      </c>
      <c r="I13" s="18">
        <f>IF(LEFT(Data!AQ10,3)="n/a","n/a",Data!AQ10)</f>
        <v/>
      </c>
      <c r="J13" s="18">
        <f>IF(LEFT(Data!AR10,3)="n/a","n/a",Data!AR10)</f>
        <v/>
      </c>
      <c r="K13" s="18">
        <f>Data!AS10</f>
        <v/>
      </c>
      <c r="L13" s="18">
        <f>Data!AU10</f>
        <v/>
      </c>
    </row>
    <row r="14" ht="17" customHeight="1">
      <c r="A14" s="14">
        <f>Data!A11</f>
        <v/>
      </c>
      <c r="B14" s="15">
        <f>Data!B11</f>
        <v/>
      </c>
      <c r="C14" s="55">
        <f>Data!Z11</f>
        <v/>
      </c>
      <c r="D14" s="56">
        <f>Data!AA11</f>
        <v/>
      </c>
      <c r="E14" s="18">
        <f>Data!AK11</f>
        <v/>
      </c>
      <c r="F14" s="18">
        <f>Data!AM11</f>
        <v/>
      </c>
      <c r="G14" s="18">
        <f>Data!AO11</f>
        <v/>
      </c>
      <c r="H14" s="18">
        <f>Data!AP11</f>
        <v/>
      </c>
      <c r="I14" s="18">
        <f>IF(LEFT(Data!AQ11,3)="n/a","n/a",Data!AQ11)</f>
        <v/>
      </c>
      <c r="J14" s="18">
        <f>IF(LEFT(Data!AR11,3)="n/a","n/a",Data!AR11)</f>
        <v/>
      </c>
      <c r="K14" s="18">
        <f>Data!AS11</f>
        <v/>
      </c>
      <c r="L14" s="18">
        <f>Data!AU11</f>
        <v/>
      </c>
    </row>
    <row r="15" ht="17" customHeight="1">
      <c r="A15" s="14">
        <f>Data!A12</f>
        <v/>
      </c>
      <c r="B15" s="15">
        <f>Data!B12</f>
        <v/>
      </c>
      <c r="C15" s="55">
        <f>Data!Z12</f>
        <v/>
      </c>
      <c r="D15" s="56">
        <f>Data!AA12</f>
        <v/>
      </c>
      <c r="E15" s="18">
        <f>Data!AK12</f>
        <v/>
      </c>
      <c r="F15" s="18">
        <f>Data!AM12</f>
        <v/>
      </c>
      <c r="G15" s="18">
        <f>Data!AO12</f>
        <v/>
      </c>
      <c r="H15" s="18">
        <f>Data!AP12</f>
        <v/>
      </c>
      <c r="I15" s="18">
        <f>IF(LEFT(Data!AQ12,3)="n/a","n/a",Data!AQ12)</f>
        <v/>
      </c>
      <c r="J15" s="18">
        <f>IF(LEFT(Data!AR12,3)="n/a","n/a",Data!AR12)</f>
        <v/>
      </c>
      <c r="K15" s="18">
        <f>Data!AS12</f>
        <v/>
      </c>
      <c r="L15" s="18">
        <f>Data!AU12</f>
        <v/>
      </c>
    </row>
    <row r="16" ht="17" customHeight="1">
      <c r="A16" s="14">
        <f>Data!A13</f>
        <v/>
      </c>
      <c r="B16" s="15">
        <f>Data!B13</f>
        <v/>
      </c>
      <c r="C16" s="55">
        <f>Data!Z13</f>
        <v/>
      </c>
      <c r="D16" s="56">
        <f>Data!AA13</f>
        <v/>
      </c>
      <c r="E16" s="18">
        <f>Data!AK13</f>
        <v/>
      </c>
      <c r="F16" s="18">
        <f>Data!AM13</f>
        <v/>
      </c>
      <c r="G16" s="18">
        <f>Data!AO13</f>
        <v/>
      </c>
      <c r="H16" s="18">
        <f>Data!AP13</f>
        <v/>
      </c>
      <c r="I16" s="18">
        <f>IF(LEFT(Data!AQ13,3)="n/a","n/a",Data!AQ13)</f>
        <v/>
      </c>
      <c r="J16" s="18">
        <f>IF(LEFT(Data!AR13,3)="n/a","n/a",Data!AR13)</f>
        <v/>
      </c>
      <c r="K16" s="18">
        <f>Data!AS13</f>
        <v/>
      </c>
      <c r="L16" s="18">
        <f>Data!AU13</f>
        <v/>
      </c>
    </row>
    <row r="17" ht="17" customHeight="1">
      <c r="A17" s="19">
        <f>Data!A14</f>
        <v/>
      </c>
      <c r="B17" s="20">
        <f>Data!B14</f>
        <v/>
      </c>
      <c r="C17" s="57">
        <f>Data!Z14</f>
        <v/>
      </c>
      <c r="D17" s="58">
        <f>Data!AA14</f>
        <v/>
      </c>
      <c r="E17" s="23">
        <f>Data!AK14</f>
        <v/>
      </c>
      <c r="F17" s="23">
        <f>Data!AM14</f>
        <v/>
      </c>
      <c r="G17" s="23">
        <f>Data!AO14</f>
        <v/>
      </c>
      <c r="H17" s="23">
        <f>Data!AP14</f>
        <v/>
      </c>
      <c r="I17" s="23">
        <f>IF(LEFT(Data!AQ14,3)="n/a","n/a",Data!AQ14)</f>
        <v/>
      </c>
      <c r="J17" s="23">
        <f>IF(LEFT(Data!AR14,3)="n/a","n/a",Data!AR14)</f>
        <v/>
      </c>
      <c r="K17" s="23">
        <f>Data!AS14</f>
        <v/>
      </c>
      <c r="L17" s="23">
        <f>Data!AU14</f>
        <v/>
      </c>
    </row>
    <row r="18" ht="17" customHeight="1">
      <c r="A18" s="19">
        <f>Data!A15</f>
        <v/>
      </c>
      <c r="B18" s="20">
        <f>Data!B15</f>
        <v/>
      </c>
      <c r="C18" s="57">
        <f>Data!Z15</f>
        <v/>
      </c>
      <c r="D18" s="58">
        <f>Data!AA15</f>
        <v/>
      </c>
      <c r="E18" s="23">
        <f>Data!AK15</f>
        <v/>
      </c>
      <c r="F18" s="23">
        <f>Data!AM15</f>
        <v/>
      </c>
      <c r="G18" s="23">
        <f>Data!AO15</f>
        <v/>
      </c>
      <c r="H18" s="23">
        <f>Data!AP15</f>
        <v/>
      </c>
      <c r="I18" s="23">
        <f>IF(LEFT(Data!AQ15,3)="n/a","n/a",Data!AQ15)</f>
        <v/>
      </c>
      <c r="J18" s="23">
        <f>IF(LEFT(Data!AR15,3)="n/a","n/a",Data!AR15)</f>
        <v/>
      </c>
      <c r="K18" s="23">
        <f>Data!AS15</f>
        <v/>
      </c>
      <c r="L18" s="23">
        <f>Data!AU15</f>
        <v/>
      </c>
    </row>
    <row r="19" ht="17" customHeight="1">
      <c r="A19" s="19">
        <f>Data!A16</f>
        <v/>
      </c>
      <c r="B19" s="20">
        <f>Data!B16</f>
        <v/>
      </c>
      <c r="C19" s="57">
        <f>Data!Z16</f>
        <v/>
      </c>
      <c r="D19" s="58">
        <f>Data!AA16</f>
        <v/>
      </c>
      <c r="E19" s="23">
        <f>Data!AK16</f>
        <v/>
      </c>
      <c r="F19" s="23">
        <f>Data!AM16</f>
        <v/>
      </c>
      <c r="G19" s="23">
        <f>Data!AO16</f>
        <v/>
      </c>
      <c r="H19" s="23">
        <f>Data!AP16</f>
        <v/>
      </c>
      <c r="I19" s="23">
        <f>IF(LEFT(Data!AQ16,3)="n/a","n/a",Data!AQ16)</f>
        <v/>
      </c>
      <c r="J19" s="23">
        <f>IF(LEFT(Data!AR16,3)="n/a","n/a",Data!AR16)</f>
        <v/>
      </c>
      <c r="K19" s="23">
        <f>Data!AS16</f>
        <v/>
      </c>
      <c r="L19" s="23">
        <f>Data!AU16</f>
        <v/>
      </c>
    </row>
    <row r="20" ht="17" customHeight="1">
      <c r="A20" s="19">
        <f>Data!A17</f>
        <v/>
      </c>
      <c r="B20" s="20">
        <f>Data!B17</f>
        <v/>
      </c>
      <c r="C20" s="57">
        <f>Data!Z17</f>
        <v/>
      </c>
      <c r="D20" s="58">
        <f>Data!AA17</f>
        <v/>
      </c>
      <c r="E20" s="23">
        <f>Data!AK17</f>
        <v/>
      </c>
      <c r="F20" s="23">
        <f>Data!AM17</f>
        <v/>
      </c>
      <c r="G20" s="23">
        <f>Data!AO17</f>
        <v/>
      </c>
      <c r="H20" s="23">
        <f>Data!AP17</f>
        <v/>
      </c>
      <c r="I20" s="23">
        <f>IF(LEFT(Data!AQ17,3)="n/a","n/a",Data!AQ17)</f>
        <v/>
      </c>
      <c r="J20" s="23">
        <f>IF(LEFT(Data!AR17,3)="n/a","n/a",Data!AR17)</f>
        <v/>
      </c>
      <c r="K20" s="23">
        <f>Data!AS17</f>
        <v/>
      </c>
      <c r="L20" s="23">
        <f>Data!AU17</f>
        <v/>
      </c>
    </row>
    <row r="21" ht="17" customHeight="1">
      <c r="A21" s="24">
        <f>Data!A18</f>
        <v/>
      </c>
      <c r="B21" s="25">
        <f>Data!B18</f>
        <v/>
      </c>
      <c r="C21" s="59">
        <f>Data!Z18</f>
        <v/>
      </c>
      <c r="D21" s="60">
        <f>Data!AA18</f>
        <v/>
      </c>
      <c r="E21" s="28">
        <f>Data!AK18</f>
        <v/>
      </c>
      <c r="F21" s="28">
        <f>Data!AM18</f>
        <v/>
      </c>
      <c r="G21" s="28">
        <f>Data!AO18</f>
        <v/>
      </c>
      <c r="H21" s="28">
        <f>Data!AP18</f>
        <v/>
      </c>
      <c r="I21" s="28">
        <f>IF(LEFT(Data!AQ18,3)="n/a","n/a",Data!AQ18)</f>
        <v/>
      </c>
      <c r="J21" s="28">
        <f>IF(LEFT(Data!AR18,3)="n/a","n/a",Data!AR18)</f>
        <v/>
      </c>
      <c r="K21" s="28">
        <f>Data!AS18</f>
        <v/>
      </c>
      <c r="L21" s="28">
        <f>Data!AU18</f>
        <v/>
      </c>
    </row>
    <row r="22" ht="17" customHeight="1">
      <c r="A22" s="24">
        <f>Data!A19</f>
        <v/>
      </c>
      <c r="B22" s="25">
        <f>Data!B19</f>
        <v/>
      </c>
      <c r="C22" s="59">
        <f>Data!Z19</f>
        <v/>
      </c>
      <c r="D22" s="60">
        <f>Data!AA19</f>
        <v/>
      </c>
      <c r="E22" s="28">
        <f>Data!AK19</f>
        <v/>
      </c>
      <c r="F22" s="28">
        <f>Data!AM19</f>
        <v/>
      </c>
      <c r="G22" s="28">
        <f>Data!AO19</f>
        <v/>
      </c>
      <c r="H22" s="28">
        <f>Data!AP19</f>
        <v/>
      </c>
      <c r="I22" s="28">
        <f>IF(LEFT(Data!AQ19,3)="n/a","n/a",Data!AQ19)</f>
        <v/>
      </c>
      <c r="J22" s="28">
        <f>IF(LEFT(Data!AR19,3)="n/a","n/a",Data!AR19)</f>
        <v/>
      </c>
      <c r="K22" s="28">
        <f>Data!AS19</f>
        <v/>
      </c>
      <c r="L22" s="28">
        <f>Data!AU19</f>
        <v/>
      </c>
    </row>
    <row r="23" ht="17" customHeight="1">
      <c r="A23" s="24">
        <f>Data!A20</f>
        <v/>
      </c>
      <c r="B23" s="25">
        <f>Data!B20</f>
        <v/>
      </c>
      <c r="C23" s="59">
        <f>Data!Z20</f>
        <v/>
      </c>
      <c r="D23" s="60">
        <f>Data!AA20</f>
        <v/>
      </c>
      <c r="E23" s="28">
        <f>Data!AK20</f>
        <v/>
      </c>
      <c r="F23" s="28">
        <f>Data!AM20</f>
        <v/>
      </c>
      <c r="G23" s="28">
        <f>Data!AO20</f>
        <v/>
      </c>
      <c r="H23" s="28">
        <f>Data!AP20</f>
        <v/>
      </c>
      <c r="I23" s="28">
        <f>IF(LEFT(Data!AQ20,3)="n/a","n/a",Data!AQ20)</f>
        <v/>
      </c>
      <c r="J23" s="28">
        <f>IF(LEFT(Data!AR20,3)="n/a","n/a",Data!AR20)</f>
        <v/>
      </c>
      <c r="K23" s="28">
        <f>Data!AS20</f>
        <v/>
      </c>
      <c r="L23" s="28">
        <f>Data!AU20</f>
        <v/>
      </c>
    </row>
    <row r="24" ht="17" customHeight="1">
      <c r="A24" s="24">
        <f>Data!A21</f>
        <v/>
      </c>
      <c r="B24" s="25">
        <f>Data!B21</f>
        <v/>
      </c>
      <c r="C24" s="59">
        <f>Data!Z21</f>
        <v/>
      </c>
      <c r="D24" s="60">
        <f>Data!AA21</f>
        <v/>
      </c>
      <c r="E24" s="28">
        <f>Data!AK21</f>
        <v/>
      </c>
      <c r="F24" s="28">
        <f>Data!AM21</f>
        <v/>
      </c>
      <c r="G24" s="28">
        <f>Data!AO21</f>
        <v/>
      </c>
      <c r="H24" s="28">
        <f>Data!AP21</f>
        <v/>
      </c>
      <c r="I24" s="28">
        <f>IF(LEFT(Data!AQ21,3)="n/a","n/a",Data!AQ21)</f>
        <v/>
      </c>
      <c r="J24" s="28">
        <f>IF(LEFT(Data!AR21,3)="n/a","n/a",Data!AR21)</f>
        <v/>
      </c>
      <c r="K24" s="28">
        <f>Data!AS21</f>
        <v/>
      </c>
      <c r="L24" s="28">
        <f>Data!AU21</f>
        <v/>
      </c>
    </row>
    <row r="25" ht="17" customHeight="1">
      <c r="A25" s="24">
        <f>Data!A22</f>
        <v/>
      </c>
      <c r="B25" s="25">
        <f>Data!B22</f>
        <v/>
      </c>
      <c r="C25" s="59">
        <f>Data!Z22</f>
        <v/>
      </c>
      <c r="D25" s="60">
        <f>Data!AA22</f>
        <v/>
      </c>
      <c r="E25" s="28">
        <f>Data!AK22</f>
        <v/>
      </c>
      <c r="F25" s="28">
        <f>Data!AM22</f>
        <v/>
      </c>
      <c r="G25" s="28">
        <f>Data!AO22</f>
        <v/>
      </c>
      <c r="H25" s="28">
        <f>Data!AP22</f>
        <v/>
      </c>
      <c r="I25" s="28">
        <f>IF(LEFT(Data!AQ22,3)="n/a","n/a",Data!AQ22)</f>
        <v/>
      </c>
      <c r="J25" s="28">
        <f>IF(LEFT(Data!AR22,3)="n/a","n/a",Data!AR22)</f>
        <v/>
      </c>
      <c r="K25" s="28">
        <f>Data!AS22</f>
        <v/>
      </c>
      <c r="L25" s="28">
        <f>Data!AU22</f>
        <v/>
      </c>
    </row>
    <row r="27">
      <c r="A27" s="29" t="inlineStr"/>
    </row>
    <row r="28">
      <c r="A28" s="30" t="inlineStr">
        <is>
          <t>READING THE NUMBERS</t>
        </is>
      </c>
    </row>
    <row r="29">
      <c r="A29" s="29" t="inlineStr">
        <is>
          <t>T/W and PMF        Blank/n/d means the operator publishes no official value. 5 of 25 rows cannot form a T/W.</t>
        </is>
      </c>
    </row>
    <row r="30">
      <c r="A30" s="29" t="inlineStr">
        <is>
          <t>Control DOF m      3 = 3-axis attitude. 6 = crewed vehicles (rendezvous/docking needs translation too). 2 = spin-stabilised. 1 = single-axis (electric propulsion).</t>
        </is>
      </c>
    </row>
    <row r="31">
      <c r="A31" s="29" t="inlineStr">
        <is>
          <t>Redundancy BEST    = N - (m+1). Theoretical ceiling, assumes survivors still positively span the control space.</t>
        </is>
      </c>
    </row>
    <row r="32">
      <c r="A32" s="29" t="inlineStr">
        <is>
          <t>Redundancy WORST   = floor(N/k) - 1. Guaranteed regardless of where the failures land.</t>
        </is>
      </c>
    </row>
    <row r="33">
      <c r="A33" s="29" t="inlineStr">
        <is>
          <t>Engine-out         Boosters only, from the liftoff T/W&gt;=1 condition with payload included. Thrust criterion only - says nothing about remaining steering authority.</t>
        </is>
      </c>
    </row>
    <row r="34">
      <c r="A34" s="29" t="inlineStr">
        <is>
          <t>PROPULSIVE redund. Non-boosters: mission fails only if no main-thrust engine works, so = units - 1.</t>
        </is>
      </c>
    </row>
    <row r="35">
      <c r="A35" s="29" t="inlineStr"/>
    </row>
    <row r="36">
      <c r="A36" s="2" t="inlineStr">
        <is>
          <t>All redundancy figures are DERIVED, not cited - no manufacturer publishes fault-tolerance levels. See the Method &amp; Definitions sheet for the derivation and the Data sheet for the per-row justification.</t>
        </is>
      </c>
    </row>
  </sheetData>
  <autoFilter ref="A4:L25"/>
  <mergeCells count="1">
    <mergeCell ref="A2:L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2" customWidth="1" min="1" max="1"/>
    <col width="14" customWidth="1" min="2" max="2"/>
    <col width="84" customWidth="1" min="3" max="3"/>
  </cols>
  <sheetData>
    <row r="1">
      <c r="A1" s="31" t="inlineStr">
        <is>
          <t>Physical constants used by the formulas on the Data sheet</t>
        </is>
      </c>
    </row>
    <row r="3">
      <c r="A3" s="32" t="inlineStr">
        <is>
          <t>Symbol</t>
        </is>
      </c>
      <c r="B3" s="32" t="inlineStr">
        <is>
          <t>Value</t>
        </is>
      </c>
      <c r="C3" s="32" t="inlineStr">
        <is>
          <t>Description</t>
        </is>
      </c>
    </row>
    <row r="4">
      <c r="A4" t="inlineStr">
        <is>
          <t>g0</t>
        </is>
      </c>
      <c r="B4" t="n">
        <v>9.806649999999999</v>
      </c>
      <c r="C4" t="inlineStr">
        <is>
          <t>Standard gravity [m/s^2] (ISO 80000-3). Used for weight and for Isp -&gt; exhaust velocity.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36" customWidth="1" min="1" max="1"/>
    <col width="122" customWidth="1" min="2" max="2"/>
  </cols>
  <sheetData>
    <row r="1">
      <c r="A1" s="1" t="inlineStr">
        <is>
          <t>SPACECRAFT PROPULSION &amp; MASS DATABASE</t>
        </is>
      </c>
      <c r="B1" s="33" t="inlineStr"/>
    </row>
    <row r="2">
      <c r="A2" s="34" t="inlineStr"/>
      <c r="B2" s="33" t="inlineStr"/>
    </row>
    <row r="3" ht="39" customHeight="1">
      <c r="A3" s="34" t="inlineStr">
        <is>
          <t>Purpose</t>
        </is>
      </c>
      <c r="B3" s="33" t="inlineStr">
        <is>
          <t>Total thrust (main/TVC + RCS + auxiliary), reference mass, thrust-to-weight ratio and propellant mass fraction for 25 vehicles in 5 classes, with every intermediate quantity computed by a live formula rather than hard-coded.</t>
        </is>
      </c>
    </row>
    <row r="4" ht="52" customHeight="1">
      <c r="A4" s="34" t="inlineStr">
        <is>
          <t>Sourcing rule</t>
        </is>
      </c>
      <c r="B4" s="33" t="inlineStr">
        <is>
          <t>Primary/official sources only: the operator, manufacturer or agency responsible for the vehicle (NASA, ESA, NOAA, EUMETSAT, JPL, JHU-APL, SpaceX, ULA). No blogs, no encyclopedias, no enthusiast sites. Where an official source does not publish a value the cell reads 'n/d' and is NEVER filled with a third-party estimate, even a widely-repeated one.</t>
        </is>
      </c>
    </row>
    <row r="5">
      <c r="A5" s="34" t="inlineStr"/>
      <c r="B5" s="33" t="inlineStr"/>
    </row>
    <row r="6">
      <c r="A6" s="32" t="inlineStr">
        <is>
          <t>CALCULATION RULES APPLIED</t>
        </is>
      </c>
      <c r="B6" s="33" t="inlineStr"/>
    </row>
    <row r="7" ht="39" customHeight="1">
      <c r="A7" s="34" t="inlineStr">
        <is>
          <t>Boosters exclude payload</t>
        </is>
      </c>
      <c r="B7" s="33" t="inlineStr">
        <is>
          <t>Column U holds any payload mass contained in the published figure; column V = T - U is the launch-vehicle-only mass that the T/W uses. No remaining row needs it - the four booster masses are all published as vehicle-only - but the column stays so any launcher added later whose quoted mass includes a payload can be corrected in place.</t>
        </is>
      </c>
    </row>
    <row r="8" ht="39" customHeight="1">
      <c r="A8" s="34" t="inlineStr">
        <is>
          <t>Boosters neglect RCS</t>
        </is>
      </c>
      <c r="B8" s="33" t="inlineStr">
        <is>
          <t>For Category = 'Boosters' the T/W thrust is main engines + strap-on boosters ONLY. Launch vehicle attitude control is by engine gimbal, and any cold-gas thrust is negligible against MN-class engines. The formula in column R switches on the category automatically.</t>
        </is>
      </c>
    </row>
    <row r="9" ht="26" customHeight="1">
      <c r="A9" s="34" t="inlineStr">
        <is>
          <t>RCS-only vehicles</t>
        </is>
      </c>
      <c r="B9" s="33" t="inlineStr">
        <is>
          <t>Where a spacecraft has no main engine (Sentinel-3A, Voyager 1), the T/W is computed from the RCS tier alone. No special case is needed - the sum simply has one non-zero term.</t>
        </is>
      </c>
    </row>
    <row r="10" ht="26" customHeight="1">
      <c r="A10" s="34" t="inlineStr">
        <is>
          <t>Main-engine-only vehicles</t>
        </is>
      </c>
      <c r="B10" s="33" t="inlineStr">
        <is>
          <t>Likewise, where the RCS is undisclosed but the main engine is known (Juno), T/W is computed from the main engine alone and the row is flagged PARTIAL.</t>
        </is>
      </c>
    </row>
    <row r="11">
      <c r="A11" s="34" t="inlineStr"/>
      <c r="B11" s="33" t="inlineStr"/>
    </row>
    <row r="12">
      <c r="A12" s="32" t="inlineStr">
        <is>
          <t>COLUMN DEFINITIONS</t>
        </is>
      </c>
      <c r="B12" s="33" t="inlineStr"/>
    </row>
    <row r="13" ht="26" customHeight="1">
      <c r="A13" s="34" t="inlineStr">
        <is>
          <t>Main / TVC engine</t>
        </is>
      </c>
      <c r="B13" s="33" t="inlineStr">
        <is>
          <t>Primary thrust-producing engine(s). 'TVC' is noted where the engine gimbals for thrust vector control. For launch vehicles this is the core-stage engine set.</t>
        </is>
      </c>
    </row>
    <row r="14" ht="26" customHeight="1">
      <c r="A14" s="34" t="inlineStr">
        <is>
          <t>Aux / strap-on</t>
        </is>
      </c>
      <c r="B14" s="33" t="inlineStr">
        <is>
          <t>A third tier that is neither main engine nor attitude-control RCS: solid strap-on boosters for launch vehicles, the 8 R-4D-11 auxiliary engines for Orion, the APS for the Lunar Module.</t>
        </is>
      </c>
    </row>
    <row r="15" ht="15" customHeight="1">
      <c r="A15" s="34" t="inlineStr">
        <is>
          <t>TOTAL main-engine thrust [N]</t>
        </is>
      </c>
      <c r="B15" s="33">
        <f> (thrust each) x (count).   Excel: F*G</f>
        <v/>
      </c>
    </row>
    <row r="16" ht="15" customHeight="1">
      <c r="A16" s="34" t="inlineStr">
        <is>
          <t>TOTAL RCS thrust [N]</t>
        </is>
      </c>
      <c r="B16" s="33">
        <f> (thrust each) x (count).   Excel: J*K</f>
        <v/>
      </c>
    </row>
    <row r="17" ht="15" customHeight="1">
      <c r="A17" s="34" t="inlineStr">
        <is>
          <t>TOTAL aux thrust [N]</t>
        </is>
      </c>
      <c r="B17" s="33">
        <f> (thrust each) x (count).   Excel: N*O</f>
        <v/>
      </c>
    </row>
    <row r="18" ht="26" customHeight="1">
      <c r="A18" s="34" t="inlineStr">
        <is>
          <t>TOTAL installed thrust [N]</t>
        </is>
      </c>
      <c r="B18" s="33">
        <f> main + RCS + aux. Reads 'incomplete' if ANY tier is undisclosed, so a partial row can never masquerade as a complete one.</f>
        <v/>
      </c>
    </row>
    <row r="19" ht="26" customHeight="1">
      <c r="A19" s="34" t="inlineStr">
        <is>
          <t>THRUST USED FOR T/W [N]</t>
        </is>
      </c>
      <c r="B19" s="33" t="inlineStr">
        <is>
          <t>Sum of the disclosed tiers, with the booster rule above applied. For a PARTIAL row this is a LOWER BOUND, not the true total.</t>
        </is>
      </c>
    </row>
    <row r="20" ht="15" customHeight="1">
      <c r="A20" s="34" t="inlineStr">
        <is>
          <t>VEHICLE MASS used for T/W</t>
        </is>
      </c>
      <c r="B20" s="33">
        <f> published mass - excluded payload.</f>
        <v/>
      </c>
    </row>
    <row r="21" ht="26" customHeight="1">
      <c r="A21" s="34" t="inlineStr">
        <is>
          <t>Vehicle weight [N]</t>
        </is>
      </c>
      <c r="B21" s="33">
        <f> vehicle mass x g0, g0 = 9.80665 read from the Constants sheet. Change it there and the whole sheet recalculates. Using Earth surface gravity does NOT imply the vehicle operates at 1 g.</f>
        <v/>
      </c>
    </row>
    <row r="22" ht="26" customHeight="1">
      <c r="A22" s="34" t="inlineStr">
        <is>
          <t>THRUST-TO-WEIGHT RATIO</t>
        </is>
      </c>
      <c r="B22" s="33">
        <f> thrust used for T/W / vehicle weight. Dimensionless. Shown in scientific notation because the sheet spans ~3e-5 (GRACE-FO cold gas) to ~2 (Ariane 5).</f>
        <v/>
      </c>
    </row>
    <row r="23" ht="15" customHeight="1">
      <c r="A23" s="34" t="inlineStr">
        <is>
          <t>Propellant mass fraction</t>
        </is>
      </c>
      <c r="B23" s="33">
        <f> propellant / vehicle mass. Nice-to-have; blank where the operator publishes no propellant load.</f>
        <v/>
      </c>
    </row>
    <row r="24" ht="15" customHeight="1">
      <c r="A24" s="34" t="inlineStr">
        <is>
          <t>Ideal delta-v [m/s]</t>
        </is>
      </c>
      <c r="B24" s="33">
        <f> Isp x g0 x ln(m_wet/m_dry)  (Tsiolkovsky). Only computed where an official Isp exists.</f>
        <v/>
      </c>
    </row>
    <row r="25">
      <c r="A25" s="34" t="inlineStr"/>
      <c r="B25" s="33" t="inlineStr"/>
    </row>
    <row r="26">
      <c r="A26" s="32" t="inlineStr">
        <is>
          <t>ACTUATOR-LEVEL REDUNDANCY MODEL</t>
        </is>
      </c>
      <c r="B26" s="33" t="inlineStr"/>
    </row>
    <row r="27" ht="52" customHeight="1">
      <c r="A27" s="34" t="inlineStr">
        <is>
          <t>Scope</t>
        </is>
      </c>
      <c r="B27" s="33" t="inlineStr">
        <is>
          <t>UNIT-level redundancy only: how many individual thrusters/engines can fail before control authority is lost. System-level redundancy (A/B strings, dual avionics, cold spares) is deliberately EXCLUDED. Where a system-level structure exists and materially changes the answer (Cassini's two branches, Cassini's two redundant RCS branches), it is called out in the justification cell.</t>
        </is>
      </c>
    </row>
    <row r="28" ht="39" customHeight="1">
      <c r="A28" s="34" t="inlineStr">
        <is>
          <t>No official numbers exist</t>
        </is>
      </c>
      <c r="B28" s="33" t="inlineStr">
        <is>
          <t>Manufacturers do not publish fault-tolerance levels. Every value in this block is DERIVED, not cited. The inputs N (unit count), k (group count) and m (control DOF) are sourced where possible; the bounds are computed from them.</t>
        </is>
      </c>
    </row>
    <row r="29">
      <c r="A29" s="34" t="inlineStr"/>
      <c r="B29" s="33" t="inlineStr"/>
    </row>
    <row r="30" ht="39" customHeight="1">
      <c r="A30" s="34" t="inlineStr">
        <is>
          <t>Governing principle</t>
        </is>
      </c>
      <c r="B30" s="33" t="inlineStr">
        <is>
          <t>Rocket thrusters are ONE-SIDED actuators - they can push but not pull. A set of one-sided actuators can produce arbitrary control in an m-dimensional space only if their control vectors POSITIVELY SPAN that space. The minimum size of a positive spanning set of R^m is m+1, not m. This single fact drives the whole model.</t>
        </is>
      </c>
    </row>
    <row r="31" ht="39" customHeight="1">
      <c r="A31" s="34" t="inlineStr">
        <is>
          <t>Min units for full authority</t>
        </is>
      </c>
      <c r="B31" s="33">
        <f> m + 1.   For 3-axis attitude control (m=3) the floor is 4 thrusters, not 3. For a spin-stabilised spacecraft the third axis is held gyroscopically, so m=2 and the floor drops to 3 - which is why Juno and MSG score better than their small thruster counts suggest.</f>
        <v/>
      </c>
    </row>
    <row r="32" ht="65" customHeight="1">
      <c r="A32" s="34" t="inlineStr">
        <is>
          <t>m = 6 for crewed vehicles</t>
        </is>
      </c>
      <c r="B32" s="33" t="inlineStr">
        <is>
          <t>All five crewed vehicles are set to m=6, not m=3, because mission success requires full 6-DOF control: rendezvous and docking need independent TRANSLATION in x, y, z as well as rotation about all three axes. The minimum positive-spanning set rises from 4 to 7, which lowers every crewed best-case figure by 3 (e.g. Orion 20 -&gt; 17, Apollo CSM 12 -&gt; 9). Worst case is unaffected, since it is set by cluster geometry rather than by the dimension of the control space.</t>
        </is>
      </c>
    </row>
    <row r="33" ht="52" customHeight="1">
      <c r="A33" s="34" t="inlineStr">
        <is>
          <t>Fine-control thrusters excluded</t>
        </is>
      </c>
      <c r="B33" s="33" t="inlineStr">
        <is>
          <t>Vernier / fine-pointing thrusters are NOT counted in the attitude tier, because losing them degrades pointing precision rather than causing mission failure. This removes the Shuttle's 6 x 25 lbf verniers (38 primary jets are counted, not 44) and keeps Voyager's 12 attitude thrusters out of its propulsive count. Where a spacecraft has only one class of thruster, nothing is excluded.</t>
        </is>
      </c>
    </row>
    <row r="34" ht="39" customHeight="1">
      <c r="A34" s="34" t="inlineStr">
        <is>
          <t>BEST CASE (upper bound)</t>
        </is>
      </c>
      <c r="B34" s="33">
        <f> N - (m+1).   Assumes the surviving units happen to be the ones that still positively span the control space, and that the control law can reconfigure to use them. This is the theoretical ceiling: no arrangement can do better.</f>
        <v/>
      </c>
    </row>
    <row r="35" ht="52" customHeight="1">
      <c r="A35" s="34" t="inlineStr">
        <is>
          <t>WORST CASE (lower bound)</t>
        </is>
      </c>
      <c r="B35" s="33">
        <f> floor(N/k) - 1.   Reasoning: in a clustered layout the thrusters within one group share a mounting location and largely share torque directions, so the scarcest control direction is served by roughly N/k units. Failures that concentrate there remove that direction once all of them are gone; you are therefore GUARANTEED to survive one fewer than that. This is a bound you can rely on regardless of where the failures land.</f>
        <v/>
      </c>
    </row>
    <row r="36" ht="39" customHeight="1">
      <c r="A36" s="34" t="inlineStr">
        <is>
          <t>Why the two differ so much</t>
        </is>
      </c>
      <c r="B36" s="33" t="inlineStr">
        <is>
          <t>The spread between best and worst is a measure of how much the design depends on favourable failure locations. A tight spread (GRACE-FO 8 vs 1) means the layout is geometrically brittle; a wide one with a high floor (Shuttle 34 vs 11) means genuine designed-in margin.</t>
        </is>
      </c>
    </row>
    <row r="37" ht="39" customHeight="1">
      <c r="A37" s="34" t="inlineStr">
        <is>
          <t>Validation of the generic rule</t>
        </is>
      </c>
      <c r="B37" s="33" t="inlineStr">
        <is>
          <t>For Orion the published functional split (2 of 6 clusters provide roll, so roll is the binding constraint at ~4 thrusters per direction) independently gives a worst case of 3 - identical to the generic N/k-1 result. That agreement is the main evidence that the generic rule is not arbitrary.</t>
        </is>
      </c>
    </row>
    <row r="38">
      <c r="A38" s="34" t="inlineStr"/>
      <c r="B38" s="33" t="inlineStr"/>
    </row>
    <row r="39">
      <c r="A39" s="32" t="inlineStr">
        <is>
          <t>ENGINE-OUT REDUNDANCY (boosters only)</t>
        </is>
      </c>
      <c r="B39" s="33" t="inlineStr"/>
    </row>
    <row r="40" ht="52" customHeight="1">
      <c r="A40" s="34" t="inlineStr">
        <is>
          <t>Criterion</t>
        </is>
      </c>
      <c r="B40" s="33" t="inlineStr">
        <is>
          <t>A launch vehicle must have T/W &gt; 1 AT LIFTOFF WITH PAYLOAD. So the number of main engines that can be lost is the largest k satisfying  (T_total - k x T_engine) &gt;= m_liftoff x g0.  Rearranged and floored, that is the formula in the sheet. Note this uses the WITH-payload mass (column T), unlike the T/W column which excludes payload - because engine-out is a real flight condition, not a normalised comparison.</t>
        </is>
      </c>
    </row>
    <row r="41" ht="52" customHeight="1">
      <c r="A41" s="34" t="inlineStr">
        <is>
          <t>Two thresholds are given</t>
        </is>
      </c>
      <c r="B41" s="33" t="inlineStr">
        <is>
          <t>T/W &gt;= 1.0 is the absolute floor (the vehicle merely leaves the pad). T/W &gt;= 1.2 is the conservative figure, and is the one to quote. The 20% margin covers gravity losses, the reduced axial acceleration during the max-Q throttle bucket, and the steering losses incurred when a gimbal must trim the yaw/roll asymmetry an engine-out creates.</t>
        </is>
      </c>
    </row>
    <row r="42" ht="65" customHeight="1">
      <c r="A42" s="34" t="inlineStr">
        <is>
          <t>Why max-Q is the binding case</t>
        </is>
      </c>
      <c r="B42" s="33" t="inlineStr">
        <is>
          <t>Liftoff T/W is the easiest condition to satisfy because propellant is still aboard and dynamic pressure is zero. Through max-Q the vehicle is deliberately throttled, so thrust margin is at its minimum exactly when aerodynamic and control loads are at their peak; an engine-out there costs both thrust AND gimbal authority, since the surviving engines must trim a large yawing moment. Any engine-out count derived from liftoff T/W alone is therefore OPTIMISTIC for the max-Q window, which is why the 1.2 column exists.</t>
        </is>
      </c>
    </row>
    <row r="43" ht="52" customHeight="1">
      <c r="A43" s="34" t="inlineStr">
        <is>
          <t>Necessary, not sufficient</t>
        </is>
      </c>
      <c r="B43" s="33" t="inlineStr">
        <is>
          <t>The engine-out columns are a THRUST criterion only. They say nothing about whether the surviving engines can still steer. A vehicle whose strap-on boosters dominate the thrust budget can score well here while being uncontrollable after an engine-out, because the surviving gimbals cannot trim the asymmetry. Always read the justification cell alongside the number.</t>
        </is>
      </c>
    </row>
    <row r="44">
      <c r="A44" s="34" t="inlineStr"/>
      <c r="B44" s="33" t="inlineStr"/>
    </row>
    <row r="45">
      <c r="A45" s="32" t="inlineStr">
        <is>
          <t>PROPULSIVE ENGINE-OUT REDUNDANCY (non-boosters)</t>
        </is>
      </c>
      <c r="B45" s="33" t="inlineStr"/>
    </row>
    <row r="46" ht="39" customHeight="1">
      <c r="A46" s="34" t="inlineStr">
        <is>
          <t>Criterion</t>
        </is>
      </c>
      <c r="B46" s="33" t="inlineStr">
        <is>
          <t>For spacecraft rather than launch vehicles the test is mission completion, not liftoff: the mission fails only if NO main-thrust engine works. Redundancy is therefore simply (propulsive units - 1). One surviving engine is enough - the burn just takes longer.</t>
        </is>
      </c>
    </row>
    <row r="47" ht="65" customHeight="1">
      <c r="A47" s="34" t="inlineStr">
        <is>
          <t>EACH UNIT COUNTS ONCE</t>
        </is>
      </c>
      <c r="B47" s="33" t="inlineStr">
        <is>
          <t>A physical thruster belongs to the attitude tier OR the propulsive tier, never both. Where one homogeneous set does both jobs (Europa Clipper's 24 engines, Crew Dragon's 16 Dracos) it is counted ONCE, in the attitude tier, and the propulsive term contributes nothing - the vehicle has no separable engine. Voyager 1 and New Horizons are the subtle version - their 16 thrusters split into 12 attitude plus 4 trajectory-correction units, so only the 12 populate the attitude tier.</t>
        </is>
      </c>
    </row>
    <row r="48" ht="52" customHeight="1">
      <c r="A48" s="34" t="inlineStr">
        <is>
          <t>Propulsive tier = MAIN tier</t>
        </is>
      </c>
      <c r="B48" s="33" t="inlineStr">
        <is>
          <t>The propulsive count is the MAIN-engine tier only, never main + aux. Orion briefly counted 9 (OMS-E + 8 auxiliary engines) and was the only row in the sheet doing so; the auxiliary engines already appear as their own thrust tier, so counting them again inflated the score. Apollo LM sets the precedent - it has an APS aux tier and still counts 1.</t>
        </is>
      </c>
    </row>
    <row r="49" ht="52" customHeight="1">
      <c r="A49" s="34" t="inlineStr">
        <is>
          <t>Which units count</t>
        </is>
      </c>
      <c r="B49" s="33" t="inlineStr">
        <is>
          <t>Only units that can deliver the primary TRANSLATIONAL thrust the mission needs. Attitude and fine-pointing thrusters are excluded unless they are genuinely the propulsive tier (New Horizons, Voyager). Orion counts the OMS-E alone, NOT the 8 auxiliary engines - those are their own tier. Crew Dragon and Europa Clipper have no separable engine tier at all, since their thrusters are already counted as the attitude tier.</t>
        </is>
      </c>
    </row>
    <row r="50" ht="65" customHeight="1">
      <c r="A50" s="34" t="inlineStr">
        <is>
          <t>What it reveals</t>
        </is>
      </c>
      <c r="B50" s="33" t="inlineStr">
        <is>
          <t>Almost every crewed and deep-space vehicle here has a SINGLE main engine. Orion, Apollo CSM, Apollo LM, Juno and SDO all score 0: single-engine single-point failures. The Apollo LM is the extreme case, with no backup and no abort mode for the ascent engine; Grumman bought reliability through radical simplicity (pressure-fed, ablatively cooled, no throttle, no gimbal) instead of through redundancy. That trade - simplicity versus redundancy - is worth a paragraph in any thesis using this sheet.</t>
        </is>
      </c>
    </row>
    <row r="51" ht="26" customHeight="1">
      <c r="A51" s="34" t="inlineStr">
        <is>
          <t>Count vs effective redundancy</t>
        </is>
      </c>
      <c r="B51" s="33" t="inlineStr">
        <is>
          <t>A high count is not automatically high redundancy. Europa Clipper has 24 units but is thrust-limited (only 8 of 24 fire at once). Read the propulsive justification column before quoting these.</t>
        </is>
      </c>
    </row>
    <row r="52">
      <c r="A52" s="34" t="inlineStr"/>
      <c r="B52" s="33" t="inlineStr"/>
    </row>
    <row r="53" ht="78" customHeight="1">
      <c r="A53" s="34" t="inlineStr">
        <is>
          <t>Solid motors score zero by construction</t>
        </is>
      </c>
      <c r="B53" s="33" t="inlineStr">
        <is>
          <t>A solid booster cannot be throttled, shut down or lost gracefully - its failure is a loss of vehicle, not a degraded mode. Vega, Vega-C and the Ariane 5 EAPs therefore have no actuator redundancy at all during boost, which is a real architectural difference from a liquid engine cluster. IMPORTANT DISTINCTION: this is NOT because they lack thrust vector control. All of them steer by gimballed/movable nozzle - ESA documents electromechanical TVC actuators on both the P80 and the P120C. TVC gives steering authority; redundancy is about surviving the loss of a unit, and a single solid motor cannot survive its own failure however well it steers.</t>
        </is>
      </c>
    </row>
    <row r="54">
      <c r="A54" s="34" t="inlineStr"/>
      <c r="B54" s="33" t="inlineStr"/>
    </row>
    <row r="55">
      <c r="A55" s="32" t="inlineStr">
        <is>
          <t>COLOUR CODING</t>
        </is>
      </c>
      <c r="B55" s="33" t="inlineStr"/>
    </row>
    <row r="56" ht="15" customHeight="1">
      <c r="A56" s="34" t="inlineStr">
        <is>
          <t>Green</t>
        </is>
      </c>
      <c r="B56" s="33" t="inlineStr">
        <is>
          <t>Headline results: thrust totals, T/W, PMF.</t>
        </is>
      </c>
    </row>
    <row r="57" ht="15" customHeight="1">
      <c r="A57" s="34" t="inlineStr">
        <is>
          <t>Yellow</t>
        </is>
      </c>
      <c r="B57" s="33" t="inlineStr">
        <is>
          <t>Computed by formula from the white input columns. Do not overwrite.</t>
        </is>
      </c>
    </row>
    <row r="58" ht="15" customHeight="1">
      <c r="A58" s="34" t="inlineStr">
        <is>
          <t>White</t>
        </is>
      </c>
      <c r="B58" s="33" t="inlineStr">
        <is>
          <t>Directly-cited input data. Every number traces to a source column.</t>
        </is>
      </c>
    </row>
    <row r="59">
      <c r="A59" s="34" t="inlineStr"/>
      <c r="B59" s="33" t="inlineStr"/>
    </row>
    <row r="60">
      <c r="A60" s="32" t="inlineStr">
        <is>
          <t>ROWS WHERE T/W STILL CANNOT BE COMPUTED (5 of 25)</t>
        </is>
      </c>
      <c r="B60" s="33" t="inlineStr"/>
    </row>
    <row r="61" ht="26" customHeight="1">
      <c r="A61" s="34" t="inlineStr">
        <is>
          <t>SMAP</t>
        </is>
      </c>
      <c r="B61" s="33" t="inlineStr">
        <is>
          <t>Thrust fully published (8 x 4.5 N), launch mass NOT published by NASA/JPL. Add an official mass and the row completes itself.</t>
        </is>
      </c>
    </row>
    <row r="62" ht="15" customHeight="1">
      <c r="A62" s="34" t="inlineStr">
        <is>
          <t>Sentinel-1A</t>
        </is>
      </c>
      <c r="B62" s="33" t="inlineStr">
        <is>
          <t>Mass and propellant published, thruster count and thrust NOT published by ESA.</t>
        </is>
      </c>
    </row>
    <row r="63" ht="15" customHeight="1">
      <c r="A63" s="34" t="inlineStr">
        <is>
          <t>GOES-16 / GOES-19</t>
        </is>
      </c>
      <c r="B63" s="33" t="inlineStr">
        <is>
          <t>Fuelled and dry mass published by NOAA, propulsion thrust NOT published. No substitute exists - see below.</t>
        </is>
      </c>
    </row>
    <row r="64" ht="15" customHeight="1">
      <c r="A64" s="34" t="inlineStr">
        <is>
          <t>Crew Dragon</t>
        </is>
      </c>
      <c r="B64" s="33" t="inlineStr">
        <is>
          <t>Thrust published by NASA, gross mass NOT published by SpaceX.</t>
        </is>
      </c>
    </row>
    <row r="65">
      <c r="A65" s="34" t="inlineStr"/>
      <c r="B65" s="33" t="inlineStr"/>
    </row>
    <row r="66">
      <c r="A66" s="32" t="inlineStr">
        <is>
          <t>KNOWN LIMITATIONS - READ BEFORE CITING</t>
        </is>
      </c>
      <c r="B66" s="33" t="inlineStr"/>
    </row>
    <row r="67" ht="39" customHeight="1">
      <c r="A67" s="34" t="inlineStr">
        <is>
          <t>Operational GEO is a data desert</t>
        </is>
      </c>
      <c r="B67" s="33" t="inlineStr">
        <is>
          <t>Commercial and operational GEO satellite operators essentially never publish thruster ratings. SDO (a NASA science mission in inclined GEO), MSG (ESA published BR-153) were the only GEO-class vehicles found with usable thrust data. This is a genuine finding about data availability.</t>
        </is>
      </c>
    </row>
    <row r="68" ht="39" customHeight="1">
      <c r="A68" s="34" t="inlineStr">
        <is>
          <t>Vehicles dropped for lack of mass</t>
        </is>
      </c>
      <c r="B68" s="33" t="inlineStr">
        <is>
          <t>Falcon 9 and Atlas V 551 were removed because neither SpaceX nor ULA publishes a gross liftoff mass in any official document, so no T/W could be formed. They were replaced by Vega-C and Vega, where ESA publishes both thrust and liftoff mass. Hubble was replaced by GRACE-FO because HST has no propulsion at all.</t>
        </is>
      </c>
    </row>
    <row r="69" ht="39" customHeight="1">
      <c r="A69" s="34" t="inlineStr">
        <is>
          <t>Mixed thrust ratings</t>
        </is>
      </c>
      <c r="B69" s="33" t="inlineStr">
        <is>
          <t>Several rows mix sea-level and vacuum ratings, or quote peak rather than ignition thrust, because that is how the operator publishes them (Ariane 5, Vega-C). Every such case is flagged in the Notes column and the affected T/W is an upper bound.</t>
        </is>
      </c>
    </row>
    <row r="70" ht="39" customHeight="1">
      <c r="A70" s="34" t="inlineStr">
        <is>
          <t>Non-simultaneous thrust</t>
        </is>
      </c>
      <c r="B70" s="33" t="inlineStr">
        <is>
          <t>Apollo LM (DPS vs APS), Cassini (redundant engine and RCS branch), Europa Clipper (8 of 24 engines) and Crew Dragon (abort vs orbital) all have installed thrust well above what can fire at once. Read the Notes before using those totals.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22"/>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34" customWidth="1" min="2" max="2"/>
    <col width="26" customWidth="1" min="3" max="3"/>
    <col width="30" customWidth="1" min="4" max="4"/>
    <col width="44" customWidth="1" min="5" max="5"/>
    <col width="15" customWidth="1" min="6" max="6"/>
    <col width="11" customWidth="1" min="7" max="7"/>
    <col width="17" customWidth="1" min="8" max="8"/>
    <col width="44" customWidth="1" min="9" max="9"/>
    <col width="13" customWidth="1" min="10" max="10"/>
    <col width="11" customWidth="1" min="11" max="11"/>
    <col width="15" customWidth="1" min="12" max="12"/>
    <col width="40" customWidth="1" min="13" max="13"/>
    <col width="14" customWidth="1" min="14" max="14"/>
    <col width="11" customWidth="1" min="15" max="15"/>
    <col width="16" customWidth="1" min="16" max="16"/>
    <col width="18" customWidth="1" min="17" max="17"/>
    <col width="18" customWidth="1" min="18" max="18"/>
    <col width="13" customWidth="1" min="19" max="19"/>
    <col width="16" customWidth="1" min="20" max="20"/>
    <col width="14" customWidth="1" min="21" max="21"/>
    <col width="17" customWidth="1" min="22" max="22"/>
    <col width="13" customWidth="1" min="23" max="23"/>
    <col width="15" customWidth="1" min="24" max="24"/>
    <col width="17" customWidth="1" min="25" max="25"/>
    <col width="16" customWidth="1" min="26" max="26"/>
    <col width="14" customWidth="1" min="27" max="27"/>
    <col width="13" customWidth="1" min="28" max="28"/>
    <col width="9" customWidth="1" min="29" max="29"/>
    <col width="13" customWidth="1" min="30" max="30"/>
    <col width="32" customWidth="1" min="31" max="31"/>
    <col width="95" customWidth="1" min="32" max="32"/>
    <col width="95" customWidth="1" min="33" max="33"/>
    <col width="95" customWidth="1" min="34" max="34"/>
    <col width="95" customWidth="1" min="35" max="35"/>
    <col width="42" customWidth="1" min="36" max="36"/>
    <col width="11" customWidth="1" min="37" max="37"/>
    <col width="12" customWidth="1" min="38" max="38"/>
    <col width="12" customWidth="1" min="39" max="39"/>
    <col width="13" customWidth="1" min="40" max="40"/>
    <col width="15" customWidth="1" min="41" max="41"/>
    <col width="15" customWidth="1" min="42" max="42"/>
    <col width="17" customWidth="1" min="43" max="43"/>
    <col width="17" customWidth="1" min="44" max="44"/>
    <col width="13" customWidth="1" min="45" max="45"/>
    <col width="40" customWidth="1" min="46" max="46"/>
    <col width="15" customWidth="1" min="47" max="47"/>
    <col width="105" customWidth="1" min="48" max="48"/>
    <col width="105" customWidth="1" min="49" max="49"/>
  </cols>
  <sheetData>
    <row r="1" ht="52" customHeight="1">
      <c r="A1" s="3" t="inlineStr">
        <is>
          <t>Category</t>
        </is>
      </c>
      <c r="B1" s="3" t="inlineStr">
        <is>
          <t>Spacecraft</t>
        </is>
      </c>
      <c r="C1" s="3" t="inlineStr">
        <is>
          <t>Operator / Prime contractor</t>
        </is>
      </c>
      <c r="D1" s="3" t="inlineStr">
        <is>
          <t>Reference configuration</t>
        </is>
      </c>
      <c r="E1" s="3" t="inlineStr">
        <is>
          <t>Main / TVC engine designation</t>
        </is>
      </c>
      <c r="F1" s="3" t="inlineStr">
        <is>
          <t>Main engine thrust, each [N]</t>
        </is>
      </c>
      <c r="G1" s="3" t="inlineStr">
        <is>
          <t>No. of main engines</t>
        </is>
      </c>
      <c r="H1" s="3" t="inlineStr">
        <is>
          <t>TOTAL main-engine thrust [N]</t>
        </is>
      </c>
      <c r="I1" s="3" t="inlineStr">
        <is>
          <t>RCS thruster designation</t>
        </is>
      </c>
      <c r="J1" s="3" t="inlineStr">
        <is>
          <t>RCS thrust, each [N]</t>
        </is>
      </c>
      <c r="K1" s="3" t="inlineStr">
        <is>
          <t>No. of RCS thrusters</t>
        </is>
      </c>
      <c r="L1" s="3" t="inlineStr">
        <is>
          <t>TOTAL RCS thrust [N]</t>
        </is>
      </c>
      <c r="M1" s="3" t="inlineStr">
        <is>
          <t>Aux / strap-on designation</t>
        </is>
      </c>
      <c r="N1" s="3" t="inlineStr">
        <is>
          <t>Aux thrust, each [N]</t>
        </is>
      </c>
      <c r="O1" s="3" t="inlineStr">
        <is>
          <t>No. of aux units</t>
        </is>
      </c>
      <c r="P1" s="3" t="inlineStr">
        <is>
          <t>TOTAL aux thrust [N]</t>
        </is>
      </c>
      <c r="Q1" s="3" t="inlineStr">
        <is>
          <t>TOTAL installed thrust, all tiers [N]</t>
        </is>
      </c>
      <c r="R1" s="3" t="inlineStr">
        <is>
          <t>THRUST USED FOR T/W [N]</t>
        </is>
      </c>
      <c r="S1" s="3" t="inlineStr">
        <is>
          <t>Thrust data complete?</t>
        </is>
      </c>
      <c r="T1" s="3" t="inlineStr">
        <is>
          <t>Reference mass, as published [kg]</t>
        </is>
      </c>
      <c r="U1" s="3" t="inlineStr">
        <is>
          <t>Payload mass excluded [kg]</t>
        </is>
      </c>
      <c r="V1" s="3" t="inlineStr">
        <is>
          <t>VEHICLE MASS used for T/W [kg]</t>
        </is>
      </c>
      <c r="W1" s="3" t="inlineStr">
        <is>
          <t>Dry mass [kg]</t>
        </is>
      </c>
      <c r="X1" s="3" t="inlineStr">
        <is>
          <t>Propellant mass [kg]</t>
        </is>
      </c>
      <c r="Y1" s="3" t="inlineStr">
        <is>
          <t>Vehicle weight at Earth surface [N]</t>
        </is>
      </c>
      <c r="Z1" s="3" t="inlineStr">
        <is>
          <t>THRUST-TO-WEIGHT RATIO [-]</t>
        </is>
      </c>
      <c r="AA1" s="3" t="inlineStr">
        <is>
          <t>Propellant mass fraction [-]</t>
        </is>
      </c>
      <c r="AB1" s="3" t="inlineStr">
        <is>
          <t>Mass ratio m_wet/m_dry [-]</t>
        </is>
      </c>
      <c r="AC1" s="3" t="inlineStr">
        <is>
          <t>Isp [s]</t>
        </is>
      </c>
      <c r="AD1" s="3" t="inlineStr">
        <is>
          <t>Ideal delta-v [m/s]</t>
        </is>
      </c>
      <c r="AE1" s="3" t="inlineStr">
        <is>
          <t>Verification status</t>
        </is>
      </c>
      <c r="AF1" s="3" t="inlineStr">
        <is>
          <t>Notes, caveats and discrepancies</t>
        </is>
      </c>
      <c r="AG1" s="3" t="inlineStr">
        <is>
          <t>Source - main engine thrust</t>
        </is>
      </c>
      <c r="AH1" s="3" t="inlineStr">
        <is>
          <t>Source - RCS thrust</t>
        </is>
      </c>
      <c r="AI1" s="3" t="inlineStr">
        <is>
          <t>Source - mass</t>
        </is>
      </c>
      <c r="AJ1" s="3" t="inlineStr">
        <is>
          <t>REDUNDANCY: actuator tier assessed</t>
        </is>
      </c>
      <c r="AK1" s="3" t="inlineStr">
        <is>
          <t>Units installed, N</t>
        </is>
      </c>
      <c r="AL1" s="3" t="inlineStr">
        <is>
          <t>Actuator groups/clusters, k</t>
        </is>
      </c>
      <c r="AM1" s="3" t="inlineStr">
        <is>
          <t>Control DOF required, m</t>
        </is>
      </c>
      <c r="AN1" s="3" t="inlineStr">
        <is>
          <t>Min units for full authority (m+1)</t>
        </is>
      </c>
      <c r="AO1" s="3" t="inlineStr">
        <is>
          <t>BEST CASE: max unit failures tolerated</t>
        </is>
      </c>
      <c r="AP1" s="3" t="inlineStr">
        <is>
          <t>WORST CASE: unit failures guaranteed tolerated</t>
        </is>
      </c>
      <c r="AQ1" s="3" t="inlineStr">
        <is>
          <t>Engine-out: max engines losable at T/W&gt;=1.0 (liftoff, incl. payload)</t>
        </is>
      </c>
      <c r="AR1" s="3" t="inlineStr">
        <is>
          <t>Engine-out: max engines losable at T/W&gt;=1.2 (max-Q conservative)</t>
        </is>
      </c>
      <c r="AS1" s="3" t="inlineStr">
        <is>
          <t>Propulsive units counted (main-thrust capable)</t>
        </is>
      </c>
      <c r="AT1" s="3" t="inlineStr">
        <is>
          <t>Which units are counted as propulsive</t>
        </is>
      </c>
      <c r="AU1" s="3" t="inlineStr">
        <is>
          <t>PROPULSIVE ENGINE-OUT REDUNDANCY (units - 1)</t>
        </is>
      </c>
      <c r="AV1" s="3" t="inlineStr">
        <is>
          <t>Redundancy basis &amp; justification</t>
        </is>
      </c>
      <c r="AW1" s="3" t="inlineStr">
        <is>
          <t>Propulsive redundancy justification</t>
        </is>
      </c>
    </row>
    <row r="2" ht="104" customHeight="1">
      <c r="A2" s="35" t="inlineStr">
        <is>
          <t>Boosters</t>
        </is>
      </c>
      <c r="B2" s="35" t="inlineStr">
        <is>
          <t>Delta IV Heavy</t>
        </is>
      </c>
      <c r="C2" s="35" t="inlineStr">
        <is>
          <t>United Launch Alliance</t>
        </is>
      </c>
      <c r="D2" s="35" t="inlineStr">
        <is>
          <t>Liftoff (3 Common Booster Cores)</t>
        </is>
      </c>
      <c r="E2" s="35" t="inlineStr">
        <is>
          <t>RS-68A (gimballed)</t>
        </is>
      </c>
      <c r="F2" s="61" t="n">
        <v>3123000</v>
      </c>
      <c r="G2" s="35" t="n">
        <v>3</v>
      </c>
      <c r="H2" s="62">
        <f>IFERROR(F2*G2,"n/d")</f>
        <v/>
      </c>
      <c r="I2" s="35" t="inlineStr">
        <is>
          <t>None at vehicle level</t>
        </is>
      </c>
      <c r="J2" s="61" t="n">
        <v>0</v>
      </c>
      <c r="K2" s="35" t="n">
        <v>0</v>
      </c>
      <c r="L2" s="62">
        <f>IFERROR(J2*K2,"n/d")</f>
        <v/>
      </c>
      <c r="M2" s="35" t="inlineStr">
        <is>
          <t>None</t>
        </is>
      </c>
      <c r="N2" s="61" t="n">
        <v>0</v>
      </c>
      <c r="O2" s="35" t="n">
        <v>0</v>
      </c>
      <c r="P2" s="62">
        <f>IFERROR(N2*O2,"n/d")</f>
        <v/>
      </c>
      <c r="Q2" s="63">
        <f>IFERROR(H2+L2+P2,"incomplete")</f>
        <v/>
      </c>
      <c r="R2" s="63">
        <f>IF(A2="Boosters",SUM(H2,P2),SUM(H2,L2,P2))</f>
        <v/>
      </c>
      <c r="S2" s="35">
        <f>IF(A2="Boosters",IF(AND(ISNUMBER(H2),ISNUMBER(P2)),"complete","PARTIAL"),IF(ISNUMBER(Q2),"complete","PARTIAL"))</f>
        <v/>
      </c>
      <c r="T2" s="64" t="n">
        <v>725700</v>
      </c>
      <c r="U2" s="64" t="n">
        <v>0</v>
      </c>
      <c r="V2" s="65">
        <f>IFERROR(T2-U2,"n/d")</f>
        <v/>
      </c>
      <c r="W2" s="64" t="inlineStr">
        <is>
          <t>n/d</t>
        </is>
      </c>
      <c r="X2" s="65">
        <f>IFERROR(V2-W2,"n/d")</f>
        <v/>
      </c>
      <c r="Y2" s="65">
        <f>IFERROR(V2*g0,"n/d")</f>
        <v/>
      </c>
      <c r="Z2" s="66">
        <f>IF(AND(S2="PARTIAL",R2=0),"n/d",IFERROR(R2/Y2,"n/d"))</f>
        <v/>
      </c>
      <c r="AA2" s="67">
        <f>IFERROR(X2/V2,"n/d")</f>
        <v/>
      </c>
      <c r="AB2" s="68">
        <f>IFERROR(V2/W2,IFERROR(V2/(V2-X2),"n/d"))</f>
        <v/>
      </c>
      <c r="AC2" s="35" t="inlineStr">
        <is>
          <t>n/d</t>
        </is>
      </c>
      <c r="AD2" s="44">
        <f>IFERROR(AC2*g0*LN(AB2),"n/d")</f>
        <v/>
      </c>
      <c r="AE2" s="35" t="inlineStr">
        <is>
          <t>Direct - official page read</t>
        </is>
      </c>
      <c r="AF2" s="35" t="inlineStr">
        <is>
          <t>ULA describes 725,700 kg as the mass of 'the fully fueled rocket', i.e. vehicle only, so no payload is subtracted. CAUTION: ULA's own text writes '702,000 pounds (312.3 kiloNewtons)' - that conversion is wrong by a factor of 10. 702,000 lbf = 3,123 kN, and ULA's own stated combined 9.4 MN confirms 3 x 3,123 kN. Cite the pound-force value, never ULA's kN value.</t>
        </is>
      </c>
      <c r="AG2" s="35" t="inlineStr">
        <is>
          <t>ULA, 'NROL-70: Final Delta IV Heavy prepared for launch': https://blog.ulalaunch.com/blog/nrol-70-final-delta-iv-heavy-prepared-for-launch</t>
        </is>
      </c>
      <c r="AH2" s="35" t="inlineStr">
        <is>
          <t>n/a at vehicle level</t>
        </is>
      </c>
      <c r="AI2" s="35" t="inlineStr">
        <is>
          <t>ULA NROL-70 article: 'gross liftoff mass of 1.6 million pounds (725,700 kg)'</t>
        </is>
      </c>
      <c r="AJ2" s="35" t="inlineStr">
        <is>
          <t>n/a - no RCS tier at vehicle level</t>
        </is>
      </c>
      <c r="AK2" s="45" t="inlineStr">
        <is>
          <t>n/a</t>
        </is>
      </c>
      <c r="AL2" s="45" t="inlineStr">
        <is>
          <t>n/a</t>
        </is>
      </c>
      <c r="AM2" s="45" t="inlineStr">
        <is>
          <t>n/a</t>
        </is>
      </c>
      <c r="AN2" s="46">
        <f>IFERROR(AM2+1,"n/a")</f>
        <v/>
      </c>
      <c r="AO2" s="47">
        <f>IFERROR(MAX(0,AK2-AN2),"n/a")</f>
        <v/>
      </c>
      <c r="AP2" s="47">
        <f>IFERROR(MAX(0,FLOOR(AK2/AL2,1)-1),"n/a")</f>
        <v/>
      </c>
      <c r="AQ2" s="46">
        <f>IF(A2="Boosters",IFERROR(MAX(0,MIN(G2-1,FLOOR((R2-T2*g0)/F2,1))),"n/a"),"n/a - not a liftoff vehicle")</f>
        <v/>
      </c>
      <c r="AR2" s="46">
        <f>IF(A2="Boosters",IFERROR(MAX(0,MIN(G2-1,FLOOR((R2-1.2*T2*g0)/F2,1))),"n/a"),"n/a - not a liftoff vehicle")</f>
        <v/>
      </c>
      <c r="AS2" s="45" t="inlineStr">
        <is>
          <t>n/a</t>
        </is>
      </c>
      <c r="AT2" s="35" t="inlineStr"/>
      <c r="AU2" s="47">
        <f>IFERROR(MAX(0,AS2-1),"n/a")</f>
        <v/>
      </c>
      <c r="AV2" s="35" t="inlineStr">
        <is>
          <t>Steering by RS-68A gimbal only. Engine-out at liftoff = 0: with T/W = 1.32 on 3 engines, losing one drops thrust to 6,246 kN against a weight of 7,118 kN, i.e. T/W = 0.88 and the vehicle cannot fly. This is the classic low-engine-count penalty - a 3-engine cluster has no liftoff engine-out capability unless T/W &gt; 1.5.</t>
        </is>
      </c>
      <c r="AW2" s="35" t="inlineStr"/>
    </row>
    <row r="3" ht="104" customHeight="1">
      <c r="A3" s="35" t="inlineStr">
        <is>
          <t>Boosters</t>
        </is>
      </c>
      <c r="B3" s="35" t="inlineStr">
        <is>
          <t>Ariane 5 ECA</t>
        </is>
      </c>
      <c r="C3" s="35" t="inlineStr">
        <is>
          <t>ESA / Arianespace</t>
        </is>
      </c>
      <c r="D3" s="35" t="inlineStr">
        <is>
          <t>Liftoff (EPC + 2 EAP)</t>
        </is>
      </c>
      <c r="E3" s="35" t="inlineStr">
        <is>
          <t>Vulcain 2 (gimballed, sea level)</t>
        </is>
      </c>
      <c r="F3" s="61" t="n">
        <v>960000</v>
      </c>
      <c r="G3" s="35" t="n">
        <v>1</v>
      </c>
      <c r="H3" s="62">
        <f>IFERROR(F3*G3,"n/d")</f>
        <v/>
      </c>
      <c r="I3" s="35" t="inlineStr">
        <is>
          <t>None at vehicle level</t>
        </is>
      </c>
      <c r="J3" s="61" t="n">
        <v>0</v>
      </c>
      <c r="K3" s="35" t="n">
        <v>0</v>
      </c>
      <c r="L3" s="62">
        <f>IFERROR(J3*K3,"n/d")</f>
        <v/>
      </c>
      <c r="M3" s="35" t="inlineStr">
        <is>
          <t>EAP P241 solid booster</t>
        </is>
      </c>
      <c r="N3" s="61" t="n">
        <v>7080000</v>
      </c>
      <c r="O3" s="35" t="n">
        <v>2</v>
      </c>
      <c r="P3" s="62">
        <f>IFERROR(N3*O3,"n/d")</f>
        <v/>
      </c>
      <c r="Q3" s="63">
        <f>IFERROR(H3+L3+P3,"incomplete")</f>
        <v/>
      </c>
      <c r="R3" s="63">
        <f>IF(A3="Boosters",SUM(H3,P3),SUM(H3,L3,P3))</f>
        <v/>
      </c>
      <c r="S3" s="35">
        <f>IF(A3="Boosters",IF(AND(ISNUMBER(H3),ISNUMBER(P3)),"complete","PARTIAL"),IF(ISNUMBER(Q3),"complete","PARTIAL"))</f>
        <v/>
      </c>
      <c r="T3" s="64" t="n">
        <v>780000</v>
      </c>
      <c r="U3" s="64" t="n">
        <v>0</v>
      </c>
      <c r="V3" s="65">
        <f>IFERROR(T3-U3,"n/d")</f>
        <v/>
      </c>
      <c r="W3" s="64" t="inlineStr">
        <is>
          <t>n/d</t>
        </is>
      </c>
      <c r="X3" s="65">
        <f>IFERROR(V3-W3,"n/d")</f>
        <v/>
      </c>
      <c r="Y3" s="65">
        <f>IFERROR(V3*g0,"n/d")</f>
        <v/>
      </c>
      <c r="Z3" s="66">
        <f>IF(AND(S3="PARTIAL",R3=0),"n/d",IFERROR(R3/Y3,"n/d"))</f>
        <v/>
      </c>
      <c r="AA3" s="67">
        <f>IFERROR(X3/V3,"n/d")</f>
        <v/>
      </c>
      <c r="AB3" s="68">
        <f>IFERROR(V3/W3,IFERROR(V3/(V3-X3),"n/d"))</f>
        <v/>
      </c>
      <c r="AC3" s="35" t="inlineStr">
        <is>
          <t>n/d</t>
        </is>
      </c>
      <c r="AD3" s="44">
        <f>IFERROR(AC3*g0*LN(AB3),"n/d")</f>
        <v/>
      </c>
      <c r="AE3" s="35" t="inlineStr">
        <is>
          <t>Official page via search summary - re-verify</t>
        </is>
      </c>
      <c r="AF3" s="35" t="inlineStr">
        <is>
          <t>ESA does not state whether the 780 t liftoff mass includes a payload, so nothing is subtracted (a typical GTO payload would be ~10 t, i.e. ~1% - it would lower T/W by ~1%). The computed 15,120 kN matches ESA's stated liftoff total exactly. CAVEAT: 7,080 kN is the EAP PEAK thrust reached shortly after ignition, not thrust at pad release (~6,470 kN each), so the resulting T/W of 1.98 is high; true liftoff T/W is nearer 1.7.</t>
        </is>
      </c>
      <c r="AG3" s="35" t="inlineStr">
        <is>
          <t>ESA, Ariane 5 ECA: 2 boosters 7,080 kN each, core 960 kN, total 15,120 kN: https://www.esa.int/Enabling_Support/Space_Transportation/Ariane/Ariane_5_ECA</t>
        </is>
      </c>
      <c r="AH3" s="35" t="inlineStr">
        <is>
          <t>n/a at vehicle level</t>
        </is>
      </c>
      <c r="AI3" s="35" t="inlineStr">
        <is>
          <t>ESA, Ariane 5 ECA: liftoff mass 780 tonnes</t>
        </is>
      </c>
      <c r="AJ3" s="35" t="inlineStr">
        <is>
          <t>n/a - no RCS tier at vehicle level</t>
        </is>
      </c>
      <c r="AK3" s="45" t="inlineStr">
        <is>
          <t>n/a</t>
        </is>
      </c>
      <c r="AL3" s="45" t="inlineStr">
        <is>
          <t>n/a</t>
        </is>
      </c>
      <c r="AM3" s="45" t="inlineStr">
        <is>
          <t>n/a</t>
        </is>
      </c>
      <c r="AN3" s="46">
        <f>IFERROR(AM3+1,"n/a")</f>
        <v/>
      </c>
      <c r="AO3" s="47">
        <f>IFERROR(MAX(0,AK3-AN3),"n/a")</f>
        <v/>
      </c>
      <c r="AP3" s="47">
        <f>IFERROR(MAX(0,FLOOR(AK3/AL3,1)-1),"n/a")</f>
        <v/>
      </c>
      <c r="AQ3" s="46">
        <f>IF(A3="Boosters",IFERROR(MAX(0,MIN(G3-1,FLOOR((R3-T3*g0)/F3,1))),"n/a"),"n/a - not a liftoff vehicle")</f>
        <v/>
      </c>
      <c r="AR3" s="46">
        <f>IF(A3="Boosters",IFERROR(MAX(0,MIN(G3-1,FLOOR((R3-1.2*T3*g0)/F3,1))),"n/a"),"n/a - not a liftoff vehicle")</f>
        <v/>
      </c>
      <c r="AS3" s="45" t="inlineStr">
        <is>
          <t>n/a</t>
        </is>
      </c>
      <c r="AT3" s="35" t="inlineStr"/>
      <c r="AU3" s="47">
        <f>IFERROR(MAX(0,AS3-1),"n/a")</f>
        <v/>
      </c>
      <c r="AV3" s="35" t="inlineStr">
        <is>
          <t>Single Vulcain 2 core engine, so core engine-out redundancy is structurally 0. The two EAP solid boosters cannot be shut down, throttled or lost: a solid motor failure is not a degraded mode but a loss of vehicle. Solid-boosted launchers therefore have ZERO actuator redundancy during the boost phase by construction.</t>
        </is>
      </c>
      <c r="AW3" s="35" t="inlineStr"/>
    </row>
    <row r="4" ht="104" customHeight="1">
      <c r="A4" s="35" t="inlineStr">
        <is>
          <t>Boosters</t>
        </is>
      </c>
      <c r="B4" s="35" t="inlineStr">
        <is>
          <t>Vega-C</t>
        </is>
      </c>
      <c r="C4" s="35" t="inlineStr">
        <is>
          <t>ESA / Avio / Arianespace</t>
        </is>
      </c>
      <c r="D4" s="35" t="inlineStr">
        <is>
          <t>Liftoff (P120C first stage)</t>
        </is>
      </c>
      <c r="E4" s="35" t="inlineStr">
        <is>
          <t>P120C solid motor (max thrust)</t>
        </is>
      </c>
      <c r="F4" s="61" t="n">
        <v>4650000</v>
      </c>
      <c r="G4" s="35" t="n">
        <v>1</v>
      </c>
      <c r="H4" s="62">
        <f>IFERROR(F4*G4,"n/d")</f>
        <v/>
      </c>
      <c r="I4" s="35" t="inlineStr">
        <is>
          <t>None at vehicle level</t>
        </is>
      </c>
      <c r="J4" s="61" t="n">
        <v>0</v>
      </c>
      <c r="K4" s="35" t="n">
        <v>0</v>
      </c>
      <c r="L4" s="62">
        <f>IFERROR(J4*K4,"n/d")</f>
        <v/>
      </c>
      <c r="M4" s="35" t="inlineStr">
        <is>
          <t>None (single-body vehicle, no strap-ons)</t>
        </is>
      </c>
      <c r="N4" s="61" t="n">
        <v>0</v>
      </c>
      <c r="O4" s="35" t="n">
        <v>0</v>
      </c>
      <c r="P4" s="62">
        <f>IFERROR(N4*O4,"n/d")</f>
        <v/>
      </c>
      <c r="Q4" s="63">
        <f>IFERROR(H4+L4+P4,"incomplete")</f>
        <v/>
      </c>
      <c r="R4" s="63">
        <f>IF(A4="Boosters",SUM(H4,P4),SUM(H4,L4,P4))</f>
        <v/>
      </c>
      <c r="S4" s="35">
        <f>IF(A4="Boosters",IF(AND(ISNUMBER(H4),ISNUMBER(P4)),"complete","PARTIAL"),IF(ISNUMBER(Q4),"complete","PARTIAL"))</f>
        <v/>
      </c>
      <c r="T4" s="64" t="n">
        <v>210000</v>
      </c>
      <c r="U4" s="64" t="n">
        <v>0</v>
      </c>
      <c r="V4" s="65">
        <f>IFERROR(T4-U4,"n/d")</f>
        <v/>
      </c>
      <c r="W4" s="64" t="inlineStr">
        <is>
          <t>n/d</t>
        </is>
      </c>
      <c r="X4" s="65">
        <f>IFERROR(V4-W4,"n/d")</f>
        <v/>
      </c>
      <c r="Y4" s="65">
        <f>IFERROR(V4*g0,"n/d")</f>
        <v/>
      </c>
      <c r="Z4" s="66">
        <f>IF(AND(S4="PARTIAL",R4=0),"n/d",IFERROR(R4/Y4,"n/d"))</f>
        <v/>
      </c>
      <c r="AA4" s="67">
        <f>IFERROR(X4/V4,"n/d")</f>
        <v/>
      </c>
      <c r="AB4" s="68">
        <f>IFERROR(V4/W4,IFERROR(V4/(V4-X4),"n/d"))</f>
        <v/>
      </c>
      <c r="AC4" s="35" t="inlineStr">
        <is>
          <t>n/d</t>
        </is>
      </c>
      <c r="AD4" s="44">
        <f>IFERROR(AC4*g0*LN(AB4),"n/d")</f>
        <v/>
      </c>
      <c r="AE4" s="35" t="inlineStr">
        <is>
          <t>Official page via search summary - re-verify</t>
        </is>
      </c>
      <c r="AF4" s="35" t="inlineStr">
        <is>
          <t>Single-body solid launcher, so liftoff thrust is the first stage alone. ESA does not state whether the 210 t liftoff mass includes payload; Vega-C's capacity is only ~2,200 kg (~1%) so the effect is negligible and nothing is subtracted. 4,650 kN is the MAXIMUM thrust of the P120C, so this T/W is an upper bound.</t>
        </is>
      </c>
      <c r="AG4" s="35" t="inlineStr">
        <is>
          <t>ESA, Vega-C: 'The P120C motor delivers a maximum thrust of 4650 kN': https://www.esa.int/Enabling_Support/Space_Transportation/Vega/Vega-C</t>
        </is>
      </c>
      <c r="AH4" s="35" t="inlineStr">
        <is>
          <t>n/a at vehicle level</t>
        </is>
      </c>
      <c r="AI4" s="35" t="inlineStr">
        <is>
          <t>ESA, Vega-C: 'a mass at liftoff of 210 tonnes'</t>
        </is>
      </c>
      <c r="AJ4" s="35" t="inlineStr">
        <is>
          <t>n/a - no RCS tier at vehicle level</t>
        </is>
      </c>
      <c r="AK4" s="45" t="inlineStr">
        <is>
          <t>n/a</t>
        </is>
      </c>
      <c r="AL4" s="45" t="inlineStr">
        <is>
          <t>n/a</t>
        </is>
      </c>
      <c r="AM4" s="45" t="inlineStr">
        <is>
          <t>n/a</t>
        </is>
      </c>
      <c r="AN4" s="46">
        <f>IFERROR(AM4+1,"n/a")</f>
        <v/>
      </c>
      <c r="AO4" s="47">
        <f>IFERROR(MAX(0,AK4-AN4),"n/a")</f>
        <v/>
      </c>
      <c r="AP4" s="47">
        <f>IFERROR(MAX(0,FLOOR(AK4/AL4,1)-1),"n/a")</f>
        <v/>
      </c>
      <c r="AQ4" s="46">
        <f>IF(A4="Boosters",IFERROR(MAX(0,MIN(G4-1,FLOOR((R4-T4*g0)/F4,1))),"n/a"),"n/a - not a liftoff vehicle")</f>
        <v/>
      </c>
      <c r="AR4" s="46">
        <f>IF(A4="Boosters",IFERROR(MAX(0,MIN(G4-1,FLOOR((R4-1.2*T4*g0)/F4,1))),"n/a"),"n/a - not a liftoff vehicle")</f>
        <v/>
      </c>
      <c r="AS4" s="45" t="inlineStr">
        <is>
          <t>n/a</t>
        </is>
      </c>
      <c r="AT4" s="35" t="inlineStr"/>
      <c r="AU4" s="47">
        <f>IFERROR(MAX(0,AS4-1),"n/a")</f>
        <v/>
      </c>
      <c r="AV4" s="35" t="inlineStr">
        <is>
          <t>HAS TVC - retained on that basis. ESA states the P120C nozzle 'is gimballed to control the flight of the launcher', steered by electro-mechanical actuators. Zero actuator redundancy nonetheless: there is one actuator (the motor) and one steering mechanism (its nozzle). Note the distinction - having TVC is not the same as having redundancy. Redundancy exists only in the avionics driving the TVC, which is system-level and out of scope here.</t>
        </is>
      </c>
      <c r="AW4" s="35" t="inlineStr"/>
    </row>
    <row r="5" ht="104" customHeight="1">
      <c r="A5" s="35" t="inlineStr">
        <is>
          <t>Boosters</t>
        </is>
      </c>
      <c r="B5" s="35" t="inlineStr">
        <is>
          <t>Vega</t>
        </is>
      </c>
      <c r="C5" s="35" t="inlineStr">
        <is>
          <t>ESA / Avio / Arianespace</t>
        </is>
      </c>
      <c r="D5" s="35" t="inlineStr">
        <is>
          <t>Liftoff (P80 first stage)</t>
        </is>
      </c>
      <c r="E5" s="35" t="inlineStr">
        <is>
          <t>P80 solid motor</t>
        </is>
      </c>
      <c r="F5" s="61" t="n">
        <v>2942000</v>
      </c>
      <c r="G5" s="35" t="n">
        <v>1</v>
      </c>
      <c r="H5" s="62">
        <f>IFERROR(F5*G5,"n/d")</f>
        <v/>
      </c>
      <c r="I5" s="35" t="inlineStr">
        <is>
          <t>None at vehicle level</t>
        </is>
      </c>
      <c r="J5" s="61" t="n">
        <v>0</v>
      </c>
      <c r="K5" s="35" t="n">
        <v>0</v>
      </c>
      <c r="L5" s="62">
        <f>IFERROR(J5*K5,"n/d")</f>
        <v/>
      </c>
      <c r="M5" s="35" t="inlineStr">
        <is>
          <t>None (single-body vehicle, no strap-ons)</t>
        </is>
      </c>
      <c r="N5" s="61" t="n">
        <v>0</v>
      </c>
      <c r="O5" s="35" t="n">
        <v>0</v>
      </c>
      <c r="P5" s="62">
        <f>IFERROR(N5*O5,"n/d")</f>
        <v/>
      </c>
      <c r="Q5" s="63">
        <f>IFERROR(H5+L5+P5,"incomplete")</f>
        <v/>
      </c>
      <c r="R5" s="63">
        <f>IF(A5="Boosters",SUM(H5,P5),SUM(H5,L5,P5))</f>
        <v/>
      </c>
      <c r="S5" s="35">
        <f>IF(A5="Boosters",IF(AND(ISNUMBER(H5),ISNUMBER(P5)),"complete","PARTIAL"),IF(ISNUMBER(Q5),"complete","PARTIAL"))</f>
        <v/>
      </c>
      <c r="T5" s="64" t="n">
        <v>137000</v>
      </c>
      <c r="U5" s="64" t="n">
        <v>0</v>
      </c>
      <c r="V5" s="65">
        <f>IFERROR(T5-U5,"n/d")</f>
        <v/>
      </c>
      <c r="W5" s="64" t="inlineStr">
        <is>
          <t>n/d</t>
        </is>
      </c>
      <c r="X5" s="65">
        <f>IFERROR(V5-W5,"n/d")</f>
        <v/>
      </c>
      <c r="Y5" s="65">
        <f>IFERROR(V5*g0,"n/d")</f>
        <v/>
      </c>
      <c r="Z5" s="66">
        <f>IF(AND(S5="PARTIAL",R5=0),"n/d",IFERROR(R5/Y5,"n/d"))</f>
        <v/>
      </c>
      <c r="AA5" s="67">
        <f>IFERROR(X5/V5,"n/d")</f>
        <v/>
      </c>
      <c r="AB5" s="68">
        <f>IFERROR(V5/W5,IFERROR(V5/(V5-X5),"n/d"))</f>
        <v/>
      </c>
      <c r="AC5" s="35" t="inlineStr">
        <is>
          <t>n/d</t>
        </is>
      </c>
      <c r="AD5" s="44">
        <f>IFERROR(AC5*g0*LN(AB5),"n/d")</f>
        <v/>
      </c>
      <c r="AE5" s="35" t="inlineStr">
        <is>
          <t>Official page via search summary - re-verify</t>
        </is>
      </c>
      <c r="AF5" s="35" t="inlineStr">
        <is>
          <t>ESA quotes P80 thrust as '300 tonnes of thrust' (tonnes-force), converted here as 300,000 kgf x 9.80665 = 2,942 kN. Included alongside Vega-C as a direct predecessor comparison: same architecture, ~35% less liftoff mass and ~37% less thrust, giving an almost identical T/W - a clean illustration that T/W is roughly preserved when a solid launcher is scaled.</t>
        </is>
      </c>
      <c r="AG5" s="35" t="inlineStr">
        <is>
          <t>ESA, The Vega stages: 'At liftoff the P80 will provide Vega with 300 tonnes of thrust for 106.7 seconds': https://www.esa.int/Enabling_Support/Space_Transportation/Vega/The_Vega_stages</t>
        </is>
      </c>
      <c r="AH5" s="35" t="inlineStr">
        <is>
          <t>n/a at vehicle level</t>
        </is>
      </c>
      <c r="AI5" s="35" t="inlineStr">
        <is>
          <t>ESA, Vega: 'Vega weighed a total of 137 tonnes at liftoff': https://www.esa.int/Enabling_Support/Space_Transportation/Launch_vehicles/Vega</t>
        </is>
      </c>
      <c r="AJ5" s="35" t="inlineStr">
        <is>
          <t>n/a - no RCS tier at vehicle level</t>
        </is>
      </c>
      <c r="AK5" s="45" t="inlineStr">
        <is>
          <t>n/a</t>
        </is>
      </c>
      <c r="AL5" s="45" t="inlineStr">
        <is>
          <t>n/a</t>
        </is>
      </c>
      <c r="AM5" s="45" t="inlineStr">
        <is>
          <t>n/a</t>
        </is>
      </c>
      <c r="AN5" s="46">
        <f>IFERROR(AM5+1,"n/a")</f>
        <v/>
      </c>
      <c r="AO5" s="47">
        <f>IFERROR(MAX(0,AK5-AN5),"n/a")</f>
        <v/>
      </c>
      <c r="AP5" s="47">
        <f>IFERROR(MAX(0,FLOOR(AK5/AL5,1)-1),"n/a")</f>
        <v/>
      </c>
      <c r="AQ5" s="46">
        <f>IF(A5="Boosters",IFERROR(MAX(0,MIN(G5-1,FLOOR((R5-T5*g0)/F5,1))),"n/a"),"n/a - not a liftoff vehicle")</f>
        <v/>
      </c>
      <c r="AR5" s="46">
        <f>IF(A5="Boosters",IFERROR(MAX(0,MIN(G5-1,FLOOR((R5-1.2*T5*g0)/F5,1))),"n/a"),"n/a - not a liftoff vehicle")</f>
        <v/>
      </c>
      <c r="AS5" s="45" t="inlineStr">
        <is>
          <t>n/a</t>
        </is>
      </c>
      <c r="AT5" s="35" t="inlineStr"/>
      <c r="AU5" s="47">
        <f>IFERROR(MAX(0,AS5-1),"n/a")</f>
        <v/>
      </c>
      <c r="AV5" s="35" t="inlineStr">
        <is>
          <t>HAS TVC - retained on that basis. ESA describes the P80 as carrying 'a Thrust Vector Control (TVC) system consisting of two electromechanical actuators that operate a movable nozzle' to control pitch and yaw. Otherwise identical to Vega-C: included as the scaled-down comparison, and redundancy does not improve with scale in a single-motor solid architecture.</t>
        </is>
      </c>
      <c r="AW5" s="35" t="inlineStr"/>
    </row>
    <row r="6" ht="104" customHeight="1">
      <c r="A6" s="35" t="inlineStr">
        <is>
          <t>LEO Satellites</t>
        </is>
      </c>
      <c r="B6" s="35" t="inlineStr">
        <is>
          <t>GRACE-FO (per satellite)</t>
        </is>
      </c>
      <c r="C6" s="35" t="inlineStr">
        <is>
          <t>NASA / JPL / GFZ</t>
        </is>
      </c>
      <c r="D6" s="35" t="inlineStr">
        <is>
          <t>Launch configuration</t>
        </is>
      </c>
      <c r="E6" s="35" t="inlineStr">
        <is>
          <t>40 mN cold-gas orbit-control thruster (rear panel)</t>
        </is>
      </c>
      <c r="F6" s="61" t="n">
        <v>0.04</v>
      </c>
      <c r="G6" s="35" t="n">
        <v>2</v>
      </c>
      <c r="H6" s="62">
        <f>IFERROR(F6*G6,"n/d")</f>
        <v/>
      </c>
      <c r="I6" s="35" t="inlineStr">
        <is>
          <t>10 mN cold-gas attitude thruster (2 on each of 6 faces)</t>
        </is>
      </c>
      <c r="J6" s="61" t="n">
        <v>0.01</v>
      </c>
      <c r="K6" s="35" t="n">
        <v>12</v>
      </c>
      <c r="L6" s="62">
        <f>IFERROR(J6*K6,"n/d")</f>
        <v/>
      </c>
      <c r="M6" s="35" t="inlineStr">
        <is>
          <t>None</t>
        </is>
      </c>
      <c r="N6" s="61" t="n">
        <v>0</v>
      </c>
      <c r="O6" s="35" t="n">
        <v>0</v>
      </c>
      <c r="P6" s="62">
        <f>IFERROR(N6*O6,"n/d")</f>
        <v/>
      </c>
      <c r="Q6" s="63">
        <f>IFERROR(H6+L6+P6,"incomplete")</f>
        <v/>
      </c>
      <c r="R6" s="63">
        <f>IF(A6="Boosters",SUM(H6,P6),SUM(H6,L6,P6))</f>
        <v/>
      </c>
      <c r="S6" s="35">
        <f>IF(A6="Boosters",IF(AND(ISNUMBER(H6),ISNUMBER(P6)),"complete","PARTIAL"),IF(ISNUMBER(Q6),"complete","PARTIAL"))</f>
        <v/>
      </c>
      <c r="T6" s="64" t="n">
        <v>600.2</v>
      </c>
      <c r="U6" s="64" t="n">
        <v>0</v>
      </c>
      <c r="V6" s="65">
        <f>IFERROR(T6-U6,"n/d")</f>
        <v/>
      </c>
      <c r="W6" s="64" t="n"/>
      <c r="X6" s="65" t="n">
        <v>31.3</v>
      </c>
      <c r="Y6" s="65">
        <f>IFERROR(V6*g0,"n/d")</f>
        <v/>
      </c>
      <c r="Z6" s="66">
        <f>IF(AND(S6="PARTIAL",R6=0),"n/d",IFERROR(R6/Y6,"n/d"))</f>
        <v/>
      </c>
      <c r="AA6" s="67">
        <f>IFERROR(X6/V6,"n/d")</f>
        <v/>
      </c>
      <c r="AB6" s="68">
        <f>IFERROR(V6/W6,IFERROR(V6/(V6-X6),"n/d"))</f>
        <v/>
      </c>
      <c r="AC6" s="35" t="inlineStr">
        <is>
          <t>n/d</t>
        </is>
      </c>
      <c r="AD6" s="44">
        <f>IFERROR(AC6*g0*LN(AB6),"n/d")</f>
        <v/>
      </c>
      <c r="AE6" s="35" t="inlineStr">
        <is>
          <t>Direct - official page read</t>
        </is>
      </c>
      <c r="AF6" s="35" t="inlineStr">
        <is>
          <t>Fully-closed low-thrust case: 2x40 mN + 12x10 mN = 0.2 N on a 600 kg satellite, T/W ~ 3.4e-5, the smallest in this sheet. Cold gas (GN2), no combustion. The 'main engine' tier is simply the two orbit-control thrusters - there is no chemical engine. Figures are per satellite, not for the twin pair.</t>
        </is>
      </c>
      <c r="AG6" s="35" t="inlineStr">
        <is>
          <t>NASA JPL GRACE-FO Launch Press Kit: 'two 40 millinewton orbit-control thrusters mounted on the rear-panel': https://www.jpl.nasa.gov/news/press_kits/grace-fo/mission/spacecraft/</t>
        </is>
      </c>
      <c r="AH6" s="35" t="inlineStr">
        <is>
          <t>Same press kit: 'twelve 10 millinewton thrusters mounted two on each of the six sides of the satellite'</t>
        </is>
      </c>
      <c r="AI6" s="35" t="inlineStr">
        <is>
          <t>Same press kit: 'Each GRACE-FO satellite weighs 1,323.2 pounds (600.2 kilograms), including onboard propellant'; '69 pounds (31.3 kilograms) of gaseous nitrogen as propellant'</t>
        </is>
      </c>
      <c r="AJ6" s="35" t="inlineStr">
        <is>
          <t>Attitude tier: 12 x 10 mN cold-gas thrusters</t>
        </is>
      </c>
      <c r="AK6" s="45" t="n">
        <v>12</v>
      </c>
      <c r="AL6" s="45" t="n">
        <v>6</v>
      </c>
      <c r="AM6" s="45" t="n">
        <v>3</v>
      </c>
      <c r="AN6" s="46">
        <f>IFERROR(AM6+1,"n/a")</f>
        <v/>
      </c>
      <c r="AO6" s="47">
        <f>IFERROR(MAX(0,AK6-AN6),"n/a")</f>
        <v/>
      </c>
      <c r="AP6" s="47">
        <f>IFERROR(MAX(0,FLOOR(AK6/AL6,1)-1),"n/a")</f>
        <v/>
      </c>
      <c r="AQ6" s="46">
        <f>IF(A6="Boosters",IFERROR(MAX(0,MIN(G6-1,FLOOR((R6-T6*g0)/F6,1))),"n/a"),"n/a - not a liftoff vehicle")</f>
        <v/>
      </c>
      <c r="AR6" s="46">
        <f>IF(A6="Boosters",IFERROR(MAX(0,MIN(G6-1,FLOOR((R6-1.2*T6*g0)/F6,1))),"n/a"),"n/a - not a liftoff vehicle")</f>
        <v/>
      </c>
      <c r="AS6" s="45" t="n">
        <v>2</v>
      </c>
      <c r="AT6" s="35" t="inlineStr">
        <is>
          <t>2 x 40 mN cold-gas orbit-control thrusters</t>
        </is>
      </c>
      <c r="AU6" s="47">
        <f>IFERROR(MAX(0,AS6-1),"n/a")</f>
        <v/>
      </c>
      <c r="AV6" s="35" t="inlineStr">
        <is>
          <t>k = 6 is PUBLISHED, not assumed: JPL states 'two on each of the six sides of the satellite'. That geometry is the worst case for graceful degradation - the two thrusters on a given face are the only source of torque in that face's direction, so losing both removes a control direction outright. Hence worst case = 1. Best case = 12 - 4 = 8 assumes surviving thrusters happen to positively span R^3.</t>
        </is>
      </c>
      <c r="AW6" s="35" t="inlineStr">
        <is>
          <t>Only the two rear-panel 40 mN units produce orbit-changing thrust; the 12 x 10 mN attitude thrusters cannot maintain the constellation. Redundancy 1.</t>
        </is>
      </c>
    </row>
    <row r="7" ht="104" customHeight="1">
      <c r="A7" s="35" t="inlineStr">
        <is>
          <t>LEO Satellites</t>
        </is>
      </c>
      <c r="B7" s="35" t="inlineStr">
        <is>
          <t>Sentinel-3A</t>
        </is>
      </c>
      <c r="C7" s="35" t="inlineStr">
        <is>
          <t>ESA / EUMETSAT / Copernicus</t>
        </is>
      </c>
      <c r="D7" s="35" t="inlineStr">
        <is>
          <t>Launch configuration</t>
        </is>
      </c>
      <c r="E7" s="35" t="inlineStr">
        <is>
          <t>None (no main/apogee engine)</t>
        </is>
      </c>
      <c r="F7" s="61" t="n">
        <v>0</v>
      </c>
      <c r="G7" s="35" t="n">
        <v>0</v>
      </c>
      <c r="H7" s="62">
        <f>IFERROR(F7*G7,"n/d")</f>
        <v/>
      </c>
      <c r="I7" s="35" t="inlineStr">
        <is>
          <t>1 N hydrazine monopropellant thruster</t>
        </is>
      </c>
      <c r="J7" s="61" t="n">
        <v>1</v>
      </c>
      <c r="K7" s="35" t="n">
        <v>8</v>
      </c>
      <c r="L7" s="62">
        <f>IFERROR(J7*K7,"n/d")</f>
        <v/>
      </c>
      <c r="M7" s="35" t="inlineStr">
        <is>
          <t>None</t>
        </is>
      </c>
      <c r="N7" s="61" t="n">
        <v>0</v>
      </c>
      <c r="O7" s="35" t="n">
        <v>0</v>
      </c>
      <c r="P7" s="62">
        <f>IFERROR(N7*O7,"n/d")</f>
        <v/>
      </c>
      <c r="Q7" s="63">
        <f>IFERROR(H7+L7+P7,"incomplete")</f>
        <v/>
      </c>
      <c r="R7" s="63">
        <f>IF(A7="Boosters",SUM(H7,P7),SUM(H7,L7,P7))</f>
        <v/>
      </c>
      <c r="S7" s="35">
        <f>IF(A7="Boosters",IF(AND(ISNUMBER(H7),ISNUMBER(P7)),"complete","PARTIAL"),IF(ISNUMBER(Q7),"complete","PARTIAL"))</f>
        <v/>
      </c>
      <c r="T7" s="64" t="n">
        <v>1250</v>
      </c>
      <c r="U7" s="64" t="n">
        <v>0</v>
      </c>
      <c r="V7" s="65">
        <f>IFERROR(T7-U7,"n/d")</f>
        <v/>
      </c>
      <c r="W7" s="64" t="inlineStr">
        <is>
          <t>n/d</t>
        </is>
      </c>
      <c r="X7" s="65">
        <f>IFERROR(V7-W7,"n/d")</f>
        <v/>
      </c>
      <c r="Y7" s="65">
        <f>IFERROR(V7*g0,"n/d")</f>
        <v/>
      </c>
      <c r="Z7" s="66">
        <f>IF(AND(S7="PARTIAL",R7=0),"n/d",IFERROR(R7/Y7,"n/d"))</f>
        <v/>
      </c>
      <c r="AA7" s="67">
        <f>IFERROR(X7/V7,"n/d")</f>
        <v/>
      </c>
      <c r="AB7" s="68">
        <f>IFERROR(V7/W7,IFERROR(V7/(V7-X7),"n/d"))</f>
        <v/>
      </c>
      <c r="AC7" s="35" t="inlineStr">
        <is>
          <t>n/d</t>
        </is>
      </c>
      <c r="AD7" s="44">
        <f>IFERROR(AC7*g0*LN(AB7),"n/d")</f>
        <v/>
      </c>
      <c r="AE7" s="35" t="inlineStr">
        <is>
          <t>Direct - primary doc read</t>
        </is>
      </c>
      <c r="AF7" s="35" t="inlineStr">
        <is>
          <t>One of the few Earth-observation satellites where ESA publishes both thruster count and thrust. All propulsion is the RCS tier, so per your rule the T/W is computed from the RCS alone: 8 N / 12.26 kN = 6.5e-4. Propellant load is not published, so PMF cannot be computed.</t>
        </is>
      </c>
      <c r="AG7" s="35" t="inlineStr">
        <is>
          <t>n/a - no main/apogee engine</t>
        </is>
      </c>
      <c r="AH7" s="35" t="inlineStr">
        <is>
          <t>ESA Sentinel-3 Data Sheet: '8x1N hydrazine thrusters for in-plane &amp; out-out plane': https://esamultimedia.esa.int/docs/S3-Data_Sheet.pdf</t>
        </is>
      </c>
      <c r="AI7" s="35" t="inlineStr">
        <is>
          <t>ESA Sentinel-3 Data Sheet: 'Launch Mass: 1250 kg'</t>
        </is>
      </c>
      <c r="AJ7" s="35" t="inlineStr">
        <is>
          <t>Attitude tier: 8 x 1 N hydrazine thrusters</t>
        </is>
      </c>
      <c r="AK7" s="45" t="n">
        <v>8</v>
      </c>
      <c r="AL7" s="45" t="n">
        <v>4</v>
      </c>
      <c r="AM7" s="45" t="n">
        <v>3</v>
      </c>
      <c r="AN7" s="46">
        <f>IFERROR(AM7+1,"n/a")</f>
        <v/>
      </c>
      <c r="AO7" s="47">
        <f>IFERROR(MAX(0,AK7-AN7),"n/a")</f>
        <v/>
      </c>
      <c r="AP7" s="47">
        <f>IFERROR(MAX(0,FLOOR(AK7/AL7,1)-1),"n/a")</f>
        <v/>
      </c>
      <c r="AQ7" s="46">
        <f>IF(A7="Boosters",IFERROR(MAX(0,MIN(G7-1,FLOOR((R7-T7*g0)/F7,1))),"n/a"),"n/a - not a liftoff vehicle")</f>
        <v/>
      </c>
      <c r="AR7" s="46">
        <f>IF(A7="Boosters",IFERROR(MAX(0,MIN(G7-1,FLOOR((R7-1.2*T7*g0)/F7,1))),"n/a"),"n/a - not a liftoff vehicle")</f>
        <v/>
      </c>
      <c r="AS7" s="45" t="inlineStr">
        <is>
          <t>n/a</t>
        </is>
      </c>
      <c r="AT7" s="35" t="inlineStr">
        <is>
          <t>no main-thrust tier</t>
        </is>
      </c>
      <c r="AU7" s="47">
        <f>IFERROR(MAX(0,AS7-1),"n/a")</f>
        <v/>
      </c>
      <c r="AV7" s="35" t="inlineStr">
        <is>
          <t>ESA publishes the count (8) but not the layout; k = 4 is ASSUMED from the near-universal practice of mounting 1 N monopropellant thrusters in opposed pairs. If the true layout is 2 clusters of 4, worst case rises to 3. Flagged as an assumption - verify against an ESA layout drawing before citing the worst-case number.</t>
        </is>
      </c>
      <c r="AW7" s="35" t="inlineStr">
        <is>
          <t>All eight 1 N thrusters serve both orbit maintenance and attitude, so there is no separable propulsive tier.</t>
        </is>
      </c>
    </row>
    <row r="8" ht="104" customHeight="1">
      <c r="A8" s="35" t="inlineStr">
        <is>
          <t>LEO Satellites</t>
        </is>
      </c>
      <c r="B8" s="35" t="inlineStr">
        <is>
          <t>SMAP</t>
        </is>
      </c>
      <c r="C8" s="35" t="inlineStr">
        <is>
          <t>NASA / JPL</t>
        </is>
      </c>
      <c r="D8" s="35" t="inlineStr">
        <is>
          <t>On-orbit</t>
        </is>
      </c>
      <c r="E8" s="35" t="inlineStr">
        <is>
          <t>None (no main engine)</t>
        </is>
      </c>
      <c r="F8" s="61" t="n">
        <v>0</v>
      </c>
      <c r="G8" s="35" t="n">
        <v>0</v>
      </c>
      <c r="H8" s="62">
        <f>IFERROR(F8*G8,"n/d")</f>
        <v/>
      </c>
      <c r="I8" s="35" t="inlineStr">
        <is>
          <t>4.5 N hydrazine monopropellant thruster (MONARC-5)</t>
        </is>
      </c>
      <c r="J8" s="61" t="n">
        <v>4.5</v>
      </c>
      <c r="K8" s="35" t="n">
        <v>8</v>
      </c>
      <c r="L8" s="62">
        <f>IFERROR(J8*K8,"n/d")</f>
        <v/>
      </c>
      <c r="M8" s="35" t="inlineStr">
        <is>
          <t>None</t>
        </is>
      </c>
      <c r="N8" s="61" t="n">
        <v>0</v>
      </c>
      <c r="O8" s="35" t="n">
        <v>0</v>
      </c>
      <c r="P8" s="62">
        <f>IFERROR(N8*O8,"n/d")</f>
        <v/>
      </c>
      <c r="Q8" s="63">
        <f>IFERROR(H8+L8+P8,"incomplete")</f>
        <v/>
      </c>
      <c r="R8" s="63">
        <f>IF(A8="Boosters",SUM(H8,P8),SUM(H8,L8,P8))</f>
        <v/>
      </c>
      <c r="S8" s="35">
        <f>IF(A8="Boosters",IF(AND(ISNUMBER(H8),ISNUMBER(P8)),"complete","PARTIAL"),IF(ISNUMBER(Q8),"complete","PARTIAL"))</f>
        <v/>
      </c>
      <c r="T8" s="64" t="inlineStr">
        <is>
          <t>n/d</t>
        </is>
      </c>
      <c r="U8" s="64" t="n">
        <v>0</v>
      </c>
      <c r="V8" s="65">
        <f>IFERROR(T8-U8,"n/d")</f>
        <v/>
      </c>
      <c r="W8" s="64" t="inlineStr">
        <is>
          <t>n/d</t>
        </is>
      </c>
      <c r="X8" s="65" t="n">
        <v>80</v>
      </c>
      <c r="Y8" s="65">
        <f>IFERROR(V8*g0,"n/d")</f>
        <v/>
      </c>
      <c r="Z8" s="66">
        <f>IF(AND(S8="PARTIAL",R8=0),"n/d",IFERROR(R8/Y8,"n/d"))</f>
        <v/>
      </c>
      <c r="AA8" s="67">
        <f>IFERROR(X8/V8,"n/d")</f>
        <v/>
      </c>
      <c r="AB8" s="68">
        <f>IFERROR(V8/W8,IFERROR(V8/(V8-X8),"n/d"))</f>
        <v/>
      </c>
      <c r="AC8" s="35" t="inlineStr">
        <is>
          <t>n/d</t>
        </is>
      </c>
      <c r="AD8" s="44">
        <f>IFERROR(AC8*g0*LN(AB8),"n/d")</f>
        <v/>
      </c>
      <c r="AE8" s="35" t="inlineStr">
        <is>
          <t>Direct - primary doc read (thrust); mass NOT obtained officially</t>
        </is>
      </c>
      <c r="AF8" s="35" t="inlineStr">
        <is>
          <t>T/W CANNOT BE CLOSED. Thrust is fully documented (8 x 4.5 N = 36 N) and usable hydrazine is 80 kg, but no official NASA/JPL source located in this research pass states the observatory launch mass. The widely repeated 944 kg figure does not appear in any JPL document I could reach, so it is deliberately NOT entered. Supply an official mass and the T/W and PMF cells will compute themselves.</t>
        </is>
      </c>
      <c r="AG8" s="35" t="inlineStr">
        <is>
          <t>n/a - no main engine</t>
        </is>
      </c>
      <c r="AH8" s="35" t="inlineStr">
        <is>
          <t>NASA JPL DESCANSO, SMAP mission summary: 'Eight 4.5-newton (N) thrusters are located on four brackets off the propulsion deck'; tank 'capacity for 80 kg of usable hydrazine': https://descanso.jpl.nasa.gov/NEDSummary/SMAP_201703--RefUpdates-A--03.pdf</t>
        </is>
      </c>
      <c r="AI8" s="35" t="inlineStr">
        <is>
          <t>NOT OBTAINED from an official source - do not fill from a non-official site</t>
        </is>
      </c>
      <c r="AJ8" s="35" t="inlineStr">
        <is>
          <t>Attitude tier: 8 x 4.5 N MONARC-5 thrusters</t>
        </is>
      </c>
      <c r="AK8" s="45" t="n">
        <v>8</v>
      </c>
      <c r="AL8" s="45" t="n">
        <v>4</v>
      </c>
      <c r="AM8" s="45" t="n">
        <v>3</v>
      </c>
      <c r="AN8" s="46">
        <f>IFERROR(AM8+1,"n/a")</f>
        <v/>
      </c>
      <c r="AO8" s="47">
        <f>IFERROR(MAX(0,AK8-AN8),"n/a")</f>
        <v/>
      </c>
      <c r="AP8" s="47">
        <f>IFERROR(MAX(0,FLOOR(AK8/AL8,1)-1),"n/a")</f>
        <v/>
      </c>
      <c r="AQ8" s="46">
        <f>IF(A8="Boosters",IFERROR(MAX(0,MIN(G8-1,FLOOR((R8-T8*g0)/F8,1))),"n/a"),"n/a - not a liftoff vehicle")</f>
        <v/>
      </c>
      <c r="AR8" s="46">
        <f>IF(A8="Boosters",IFERROR(MAX(0,MIN(G8-1,FLOOR((R8-1.2*T8*g0)/F8,1))),"n/a"),"n/a - not a liftoff vehicle")</f>
        <v/>
      </c>
      <c r="AS8" s="45" t="inlineStr">
        <is>
          <t>n/a</t>
        </is>
      </c>
      <c r="AT8" s="35" t="inlineStr">
        <is>
          <t>no main-thrust tier</t>
        </is>
      </c>
      <c r="AU8" s="47">
        <f>IFERROR(MAX(0,AS8-1),"n/a")</f>
        <v/>
      </c>
      <c r="AV8" s="35" t="inlineStr">
        <is>
          <t>k = 4 is PUBLISHED: JPL states the eight thrusters are 'located on four brackets off the propulsion deck', with four of the eight dedicated to yaw control. Worst case = 1 follows from the bracket pairing. Best case = 4. Note the published functional split (4 for yaw) means the true worst case may be lower than the geometric estimate if the yaw four are not interchangeable.</t>
        </is>
      </c>
      <c r="AW8" s="35" t="inlineStr">
        <is>
          <t>Four of the eight 4.5 N thrusters provide +Z orbit-correction thrust, but they are not a separable engine tier.</t>
        </is>
      </c>
    </row>
    <row r="9" ht="104" customHeight="1">
      <c r="A9" s="35" t="inlineStr">
        <is>
          <t>LEO Satellites</t>
        </is>
      </c>
      <c r="B9" s="35" t="inlineStr">
        <is>
          <t>Sentinel-1A</t>
        </is>
      </c>
      <c r="C9" s="35" t="inlineStr">
        <is>
          <t>ESA / Copernicus</t>
        </is>
      </c>
      <c r="D9" s="35" t="inlineStr">
        <is>
          <t>Launch configuration</t>
        </is>
      </c>
      <c r="E9" s="35" t="inlineStr">
        <is>
          <t>None (no main/apogee engine)</t>
        </is>
      </c>
      <c r="F9" s="61" t="n">
        <v>0</v>
      </c>
      <c r="G9" s="35" t="n">
        <v>0</v>
      </c>
      <c r="H9" s="62">
        <f>IFERROR(F9*G9,"n/d")</f>
        <v/>
      </c>
      <c r="I9" s="35" t="inlineStr">
        <is>
          <t>Catalytic hydrazine monopropellant thruster</t>
        </is>
      </c>
      <c r="J9" s="61" t="inlineStr">
        <is>
          <t>n/d</t>
        </is>
      </c>
      <c r="K9" s="35" t="inlineStr">
        <is>
          <t>n/d</t>
        </is>
      </c>
      <c r="L9" s="62">
        <f>IFERROR(J9*K9,"n/d")</f>
        <v/>
      </c>
      <c r="M9" s="35" t="inlineStr">
        <is>
          <t>None</t>
        </is>
      </c>
      <c r="N9" s="61" t="n">
        <v>0</v>
      </c>
      <c r="O9" s="35" t="n">
        <v>0</v>
      </c>
      <c r="P9" s="62">
        <f>IFERROR(N9*O9,"n/d")</f>
        <v/>
      </c>
      <c r="Q9" s="63">
        <f>IFERROR(H9+L9+P9,"incomplete")</f>
        <v/>
      </c>
      <c r="R9" s="63">
        <f>IF(A9="Boosters",SUM(H9,P9),SUM(H9,L9,P9))</f>
        <v/>
      </c>
      <c r="S9" s="35">
        <f>IF(A9="Boosters",IF(AND(ISNUMBER(H9),ISNUMBER(P9)),"complete","PARTIAL"),IF(ISNUMBER(Q9),"complete","PARTIAL"))</f>
        <v/>
      </c>
      <c r="T9" s="64" t="n">
        <v>2300</v>
      </c>
      <c r="U9" s="64" t="n">
        <v>0</v>
      </c>
      <c r="V9" s="65">
        <f>IFERROR(T9-U9,"n/d")</f>
        <v/>
      </c>
      <c r="W9" s="64" t="inlineStr">
        <is>
          <t>n/d</t>
        </is>
      </c>
      <c r="X9" s="65" t="n">
        <v>130</v>
      </c>
      <c r="Y9" s="65">
        <f>IFERROR(V9*g0,"n/d")</f>
        <v/>
      </c>
      <c r="Z9" s="66">
        <f>IF(AND(S9="PARTIAL",R9=0),"n/d",IFERROR(R9/Y9,"n/d"))</f>
        <v/>
      </c>
      <c r="AA9" s="67">
        <f>IFERROR(X9/V9,"n/d")</f>
        <v/>
      </c>
      <c r="AB9" s="68">
        <f>IFERROR(V9/W9,IFERROR(V9/(V9-X9),"n/d"))</f>
        <v/>
      </c>
      <c r="AC9" s="35" t="inlineStr">
        <is>
          <t>n/d</t>
        </is>
      </c>
      <c r="AD9" s="44">
        <f>IFERROR(AC9*g0*LN(AB9),"n/d")</f>
        <v/>
      </c>
      <c r="AE9" s="35" t="inlineStr">
        <is>
          <t>Direct - primary doc read (mass); thrust NOT published</t>
        </is>
      </c>
      <c r="AF9" s="35" t="inlineStr">
        <is>
          <t>T/W CANNOT BE CLOSED. ESA publishes launch mass 2,300 kg including 130 kg of monopropellant (so PMF = 5.65% computes fine) and confirms 'a dedicated propulsion system utilising hydrazine propellant and catalytic reaction thrusters', but publishes neither thruster count nor thrust anywhere in ESA SP-1322/1. Retained rather than substituted because it documents the PMF side of the problem.</t>
        </is>
      </c>
      <c r="AG9" s="35" t="inlineStr">
        <is>
          <t>NOT PUBLISHED by ESA</t>
        </is>
      </c>
      <c r="AH9" s="35" t="inlineStr">
        <is>
          <t>ESA SP-1322/1: propulsion is 'hydrazine propellant and catalytic reaction thrusters' - no count or thrust given: https://earth.esa.int/eogateway/documents/20142/0/Sentinel-1-ESA's-Radar-Observatory-Mission-for-GMES-Operational-Services.pdf</t>
        </is>
      </c>
      <c r="AI9" s="35" t="inlineStr">
        <is>
          <t>ESA SP-1322/1 spec table: 'Launch mass 2300 kg (including 130 kg mono-propellant fuel)'</t>
        </is>
      </c>
      <c r="AJ9" s="35" t="inlineStr">
        <is>
          <t>n/d - ESA publishes no thruster count</t>
        </is>
      </c>
      <c r="AK9" s="45" t="inlineStr">
        <is>
          <t>n/a</t>
        </is>
      </c>
      <c r="AL9" s="45" t="inlineStr">
        <is>
          <t>n/a</t>
        </is>
      </c>
      <c r="AM9" s="45" t="inlineStr">
        <is>
          <t>n/a</t>
        </is>
      </c>
      <c r="AN9" s="46">
        <f>IFERROR(AM9+1,"n/a")</f>
        <v/>
      </c>
      <c r="AO9" s="47">
        <f>IFERROR(MAX(0,AK9-AN9),"n/a")</f>
        <v/>
      </c>
      <c r="AP9" s="47">
        <f>IFERROR(MAX(0,FLOOR(AK9/AL9,1)-1),"n/a")</f>
        <v/>
      </c>
      <c r="AQ9" s="46">
        <f>IF(A9="Boosters",IFERROR(MAX(0,MIN(G9-1,FLOOR((R9-T9*g0)/F9,1))),"n/a"),"n/a - not a liftoff vehicle")</f>
        <v/>
      </c>
      <c r="AR9" s="46">
        <f>IF(A9="Boosters",IFERROR(MAX(0,MIN(G9-1,FLOOR((R9-1.2*T9*g0)/F9,1))),"n/a"),"n/a - not a liftoff vehicle")</f>
        <v/>
      </c>
      <c r="AS9" s="45" t="inlineStr">
        <is>
          <t>n/a</t>
        </is>
      </c>
      <c r="AT9" s="35" t="inlineStr"/>
      <c r="AU9" s="47">
        <f>IFERROR(MAX(0,AS9-1),"n/a")</f>
        <v/>
      </c>
      <c r="AV9" s="35" t="inlineStr">
        <is>
          <t>Cannot be estimated: with neither thruster count nor layout published, there is no defensible basis for even a bound. Deliberately left empty rather than guessed.</t>
        </is>
      </c>
      <c r="AW9" s="35" t="inlineStr"/>
    </row>
    <row r="10" ht="104" customHeight="1">
      <c r="A10" s="35" t="inlineStr">
        <is>
          <t>GEO Satellites</t>
        </is>
      </c>
      <c r="B10" s="35" t="inlineStr">
        <is>
          <t>Solar Dynamics Observatory (SDO)</t>
        </is>
      </c>
      <c r="C10" s="35" t="inlineStr">
        <is>
          <t>NASA / GSFC</t>
        </is>
      </c>
      <c r="D10" s="35" t="inlineStr">
        <is>
          <t>Launch configuration</t>
        </is>
      </c>
      <c r="E10" s="35" t="inlineStr">
        <is>
          <t>Aerojet R-4D bipropellant main engine, 110 lbf</t>
        </is>
      </c>
      <c r="F10" s="61" t="n">
        <v>489.3</v>
      </c>
      <c r="G10" s="35" t="n">
        <v>1</v>
      </c>
      <c r="H10" s="62">
        <f>IFERROR(F10*G10,"n/d")</f>
        <v/>
      </c>
      <c r="I10" s="35" t="inlineStr">
        <is>
          <t>AMPAC-ISP attitude control thruster, 5 lbf, in four pairs</t>
        </is>
      </c>
      <c r="J10" s="61" t="n">
        <v>22.24</v>
      </c>
      <c r="K10" s="35" t="n">
        <v>8</v>
      </c>
      <c r="L10" s="62">
        <f>IFERROR(J10*K10,"n/d")</f>
        <v/>
      </c>
      <c r="M10" s="35" t="inlineStr">
        <is>
          <t>None</t>
        </is>
      </c>
      <c r="N10" s="61" t="n">
        <v>0</v>
      </c>
      <c r="O10" s="35" t="n">
        <v>0</v>
      </c>
      <c r="P10" s="62">
        <f>IFERROR(N10*O10,"n/d")</f>
        <v/>
      </c>
      <c r="Q10" s="63">
        <f>IFERROR(H10+L10+P10,"incomplete")</f>
        <v/>
      </c>
      <c r="R10" s="63">
        <f>IF(A10="Boosters",SUM(H10,P10),SUM(H10,L10,P10))</f>
        <v/>
      </c>
      <c r="S10" s="35">
        <f>IF(A10="Boosters",IF(AND(ISNUMBER(H10),ISNUMBER(P10)),"complete","PARTIAL"),IF(ISNUMBER(Q10),"complete","PARTIAL"))</f>
        <v/>
      </c>
      <c r="T10" s="64" t="n">
        <v>3100</v>
      </c>
      <c r="U10" s="64" t="n">
        <v>0</v>
      </c>
      <c r="V10" s="65">
        <f>IFERROR(T10-U10,"n/d")</f>
        <v/>
      </c>
      <c r="W10" s="64" t="inlineStr">
        <is>
          <t>n/d</t>
        </is>
      </c>
      <c r="X10" s="65" t="n">
        <v>1450</v>
      </c>
      <c r="Y10" s="65">
        <f>IFERROR(V10*g0,"n/d")</f>
        <v/>
      </c>
      <c r="Z10" s="66">
        <f>IF(AND(S10="PARTIAL",R10=0),"n/d",IFERROR(R10/Y10,"n/d"))</f>
        <v/>
      </c>
      <c r="AA10" s="67">
        <f>IFERROR(X10/V10,"n/d")</f>
        <v/>
      </c>
      <c r="AB10" s="68">
        <f>IFERROR(V10/W10,IFERROR(V10/(V10-X10),"n/d"))</f>
        <v/>
      </c>
      <c r="AC10" s="35" t="inlineStr">
        <is>
          <t>n/d</t>
        </is>
      </c>
      <c r="AD10" s="44">
        <f>IFERROR(AC10*g0*LN(AB10),"n/d")</f>
        <v/>
      </c>
      <c r="AE10" s="35" t="inlineStr">
        <is>
          <t>Direct - primary doc read</t>
        </is>
      </c>
      <c r="AF10" s="35" t="inlineStr">
        <is>
          <t>BEST-DOCUMENTED GEO ROW. Flies an INCLINED GEOSYNCHRONOUS orbit, chosen for continuous contact with a single ground station. Unlike operational GEO comsats, NASA published the actual engine ratings in a conference paper: R-4D main engine at 110 lbf and eight ACS thrusters at 5 lbf each. Total 667.2 N, PMF 46.8%. Note the same R-4D engine family appears on Orion (as the 489 N auxiliary engine) - a useful cross-check.</t>
        </is>
      </c>
      <c r="AG10" s="35" t="inlineStr">
        <is>
          <t>NASA NTRS 20050243617, 'Attitude Control System Design for the Solar Dynamics Observatory': ACS thruster 'thrust provided by each unit is nominally 5 lbf'; main engine is 'an Aerojet R-4D model bi-propellant engine producing 110 lbf of thrust': https://ntrs.nasa.gov/api/citations/20050243617/downloads/20050243617.pdf</t>
        </is>
      </c>
      <c r="AH10" s="35" t="inlineStr">
        <is>
          <t>Same NTRS 20050243617: 'The eight attitude control thrusters are designed and built by AMPAC-ISP, and they are placed in four pairs'</t>
        </is>
      </c>
      <c r="AI10" s="35" t="inlineStr">
        <is>
          <t>NASA SDO Press Kit: 'Total mass of the spacecraft at launch is 3,100 kg (8,800 lb); payload 290 kg (640 lb) and fuel 1,450 kg (3,086 lb)': https://sdo.gsfc.nasa.gov/assets/docs/SDO_PressKit.pdf</t>
        </is>
      </c>
      <c r="AJ10" s="35" t="inlineStr">
        <is>
          <t>Attitude tier: 8 x 5 lbf ACS thrusters</t>
        </is>
      </c>
      <c r="AK10" s="45" t="n">
        <v>8</v>
      </c>
      <c r="AL10" s="45" t="n">
        <v>4</v>
      </c>
      <c r="AM10" s="45" t="n">
        <v>3</v>
      </c>
      <c r="AN10" s="46">
        <f>IFERROR(AM10+1,"n/a")</f>
        <v/>
      </c>
      <c r="AO10" s="47">
        <f>IFERROR(MAX(0,AK10-AN10),"n/a")</f>
        <v/>
      </c>
      <c r="AP10" s="47">
        <f>IFERROR(MAX(0,FLOOR(AK10/AL10,1)-1),"n/a")</f>
        <v/>
      </c>
      <c r="AQ10" s="46">
        <f>IF(A10="Boosters",IFERROR(MAX(0,MIN(G10-1,FLOOR((R10-T10*g0)/F10,1))),"n/a"),"n/a - not a liftoff vehicle")</f>
        <v/>
      </c>
      <c r="AR10" s="46">
        <f>IF(A10="Boosters",IFERROR(MAX(0,MIN(G10-1,FLOOR((R10-1.2*T10*g0)/F10,1))),"n/a"),"n/a - not a liftoff vehicle")</f>
        <v/>
      </c>
      <c r="AS10" s="45" t="n">
        <v>1</v>
      </c>
      <c r="AT10" s="35" t="inlineStr">
        <is>
          <t>1 x R-4D main engine (110 lbf)</t>
        </is>
      </c>
      <c r="AU10" s="47">
        <f>IFERROR(MAX(0,AS10-1),"n/a")</f>
        <v/>
      </c>
      <c r="AV10" s="35" t="inlineStr">
        <is>
          <t>k = 4 is PUBLISHED: NASA states the eight ACS thrusters are 'placed in four pairs' and are 'commanded in pairs to effectuate X-, Y- and Z-axis control torques'. Because commanding is explicitly by PAIR, the loss of one thruster degrades its pair's torque authority immediately, so worst case = 1 is well founded here rather than assumed. Best case = 4.</t>
        </is>
      </c>
      <c r="AW10" s="35" t="inlineStr">
        <is>
          <t>Single R-4D performed the GEO orbit-raising burns. Redundancy 0: had it failed, SDO could not have reached its operational orbit.</t>
        </is>
      </c>
    </row>
    <row r="11" ht="104" customHeight="1">
      <c r="A11" s="35" t="inlineStr">
        <is>
          <t>GEO Satellites</t>
        </is>
      </c>
      <c r="B11" s="35" t="inlineStr">
        <is>
          <t>Meteosat Second Generation (MSG)</t>
        </is>
      </c>
      <c r="C11" s="35" t="inlineStr">
        <is>
          <t>ESA / EUMETSAT</t>
        </is>
      </c>
      <c r="D11" s="35" t="inlineStr">
        <is>
          <t>Launch configuration (GTO)</t>
        </is>
      </c>
      <c r="E11" s="35" t="inlineStr">
        <is>
          <t>Liquid Apogee Motor (LAM), 400 N</t>
        </is>
      </c>
      <c r="F11" s="61" t="n">
        <v>400</v>
      </c>
      <c r="G11" s="35" t="n">
        <v>2</v>
      </c>
      <c r="H11" s="62">
        <f>IFERROR(F11*G11,"n/d")</f>
        <v/>
      </c>
      <c r="I11" s="35" t="inlineStr">
        <is>
          <t>Reaction Control Thruster (RCT), 10 N</t>
        </is>
      </c>
      <c r="J11" s="61" t="n">
        <v>10</v>
      </c>
      <c r="K11" s="35" t="n">
        <v>6</v>
      </c>
      <c r="L11" s="62">
        <f>IFERROR(J11*K11,"n/d")</f>
        <v/>
      </c>
      <c r="M11" s="35" t="inlineStr">
        <is>
          <t>None</t>
        </is>
      </c>
      <c r="N11" s="61" t="n">
        <v>0</v>
      </c>
      <c r="O11" s="35" t="n">
        <v>0</v>
      </c>
      <c r="P11" s="62">
        <f>IFERROR(N11*O11,"n/d")</f>
        <v/>
      </c>
      <c r="Q11" s="63">
        <f>IFERROR(H11+L11+P11,"incomplete")</f>
        <v/>
      </c>
      <c r="R11" s="63">
        <f>IF(A11="Boosters",SUM(H11,P11),SUM(H11,L11,P11))</f>
        <v/>
      </c>
      <c r="S11" s="35">
        <f>IF(A11="Boosters",IF(AND(ISNUMBER(H11),ISNUMBER(P11)),"complete","PARTIAL"),IF(ISNUMBER(Q11),"complete","PARTIAL"))</f>
        <v/>
      </c>
      <c r="T11" s="64" t="n">
        <v>2000</v>
      </c>
      <c r="U11" s="64" t="n">
        <v>0</v>
      </c>
      <c r="V11" s="65">
        <f>IFERROR(T11-U11,"n/d")</f>
        <v/>
      </c>
      <c r="W11" s="64" t="inlineStr">
        <is>
          <t>n/d</t>
        </is>
      </c>
      <c r="X11" s="65" t="n">
        <v>976</v>
      </c>
      <c r="Y11" s="65">
        <f>IFERROR(V11*g0,"n/d")</f>
        <v/>
      </c>
      <c r="Z11" s="66">
        <f>IF(AND(S11="PARTIAL",R11=0),"n/d",IFERROR(R11/Y11,"n/d"))</f>
        <v/>
      </c>
      <c r="AA11" s="67">
        <f>IFERROR(X11/V11,"n/d")</f>
        <v/>
      </c>
      <c r="AB11" s="68">
        <f>IFERROR(V11/W11,IFERROR(V11/(V11-X11),"n/d"))</f>
        <v/>
      </c>
      <c r="AC11" s="35" t="inlineStr">
        <is>
          <t>n/d</t>
        </is>
      </c>
      <c r="AD11" s="44">
        <f>IFERROR(AC11*g0*LN(AB11),"n/d")</f>
        <v/>
      </c>
      <c r="AE11" s="35" t="inlineStr">
        <is>
          <t>Direct - primary doc read</t>
        </is>
      </c>
      <c r="AF11" s="35" t="inlineStr">
        <is>
          <t>The one operational GEO meteorological satellite found with a fully published unified propulsion system: ESA's BR-153 lists 'two 400 N LAMs' and 'six 10 N RCTs' explicitly. Total 860 N, PMF 48.8% - roughly half the launch mass is propellant, which is typical for a GTO-launched GEO satellite that must circularise itself. Spin-stabilised, unusually for a modern GEO platform.</t>
        </is>
      </c>
      <c r="AG11" s="35" t="inlineStr">
        <is>
          <t>ESA BR-153, 'Meteosat Second Generation: The Satellite Development': UPS equipment includes 'two 400 N LAMs': https://www.esa.int/esapub/br/br153/br153.pdf</t>
        </is>
      </c>
      <c r="AH11" s="35" t="inlineStr">
        <is>
          <t>Same ESA BR-153: 'six 10 N RCTs'</t>
        </is>
      </c>
      <c r="AI11" s="35" t="inlineStr">
        <is>
          <t>ESA BR-153: '2000 kg in GTO' launch mass; 'loaded propellant of 976 kg contained in' four tanks</t>
        </is>
      </c>
      <c r="AJ11" s="35" t="inlineStr">
        <is>
          <t>Attitude tier: 6 x 10 N RCTs</t>
        </is>
      </c>
      <c r="AK11" s="45" t="n">
        <v>6</v>
      </c>
      <c r="AL11" s="45" t="n">
        <v>3</v>
      </c>
      <c r="AM11" s="45" t="n">
        <v>2</v>
      </c>
      <c r="AN11" s="46">
        <f>IFERROR(AM11+1,"n/a")</f>
        <v/>
      </c>
      <c r="AO11" s="47">
        <f>IFERROR(MAX(0,AK11-AN11),"n/a")</f>
        <v/>
      </c>
      <c r="AP11" s="47">
        <f>IFERROR(MAX(0,FLOOR(AK11/AL11,1)-1),"n/a")</f>
        <v/>
      </c>
      <c r="AQ11" s="46">
        <f>IF(A11="Boosters",IFERROR(MAX(0,MIN(G11-1,FLOOR((R11-T11*g0)/F11,1))),"n/a"),"n/a - not a liftoff vehicle")</f>
        <v/>
      </c>
      <c r="AR11" s="46">
        <f>IF(A11="Boosters",IFERROR(MAX(0,MIN(G11-1,FLOOR((R11-1.2*T11*g0)/F11,1))),"n/a"),"n/a - not a liftoff vehicle")</f>
        <v/>
      </c>
      <c r="AS11" s="45" t="n">
        <v>2</v>
      </c>
      <c r="AT11" s="35" t="inlineStr">
        <is>
          <t>2 x 400 N Liquid Apogee Motors</t>
        </is>
      </c>
      <c r="AU11" s="47">
        <f>IFERROR(MAX(0,AS11-1),"n/a")</f>
        <v/>
      </c>
      <c r="AV11" s="35" t="inlineStr">
        <is>
          <t>SPIN-STABILISED, so m = 2 not 3: a spinner needs only spin-axis precession and spin-rate control, with the third axis held gyroscopically. The minimum positive-spanning set is therefore 3, not 4, and best case rises to 3 despite only six thrusters. k = 3 is assumed from the E/W and N/S thruster supports described in ESA BR-153. Spin stabilisation is a genuine redundancy advantage, not just a mass saving.</t>
        </is>
      </c>
      <c r="AW11" s="35" t="inlineStr">
        <is>
          <t>Two LAMs for the GTO-to-GEO apogee burns, redundancy 1. With ~49% of launch mass as propellant, losing both would strand the satellite in transfer orbit.</t>
        </is>
      </c>
    </row>
    <row r="12" ht="104" customHeight="1">
      <c r="A12" s="35" t="inlineStr">
        <is>
          <t>GEO Satellites</t>
        </is>
      </c>
      <c r="B12" s="35" t="inlineStr">
        <is>
          <t>GOES-16 (GOES-R)</t>
        </is>
      </c>
      <c r="C12" s="35" t="inlineStr">
        <is>
          <t>NOAA / NASA</t>
        </is>
      </c>
      <c r="D12" s="35" t="inlineStr">
        <is>
          <t>Launch configuration (fuelled)</t>
        </is>
      </c>
      <c r="E12" s="35" t="inlineStr">
        <is>
          <t>Liquid apogee engine (Lockheed Martin A2100A bus)</t>
        </is>
      </c>
      <c r="F12" s="61" t="inlineStr">
        <is>
          <t>n/d</t>
        </is>
      </c>
      <c r="G12" s="35" t="inlineStr">
        <is>
          <t>n/d</t>
        </is>
      </c>
      <c r="H12" s="62">
        <f>IFERROR(F12*G12,"n/d")</f>
        <v/>
      </c>
      <c r="I12" s="35" t="inlineStr">
        <is>
          <t>Chemical RCS thrusters</t>
        </is>
      </c>
      <c r="J12" s="61" t="inlineStr">
        <is>
          <t>n/d</t>
        </is>
      </c>
      <c r="K12" s="35" t="inlineStr">
        <is>
          <t>n/d</t>
        </is>
      </c>
      <c r="L12" s="62">
        <f>IFERROR(J12*K12,"n/d")</f>
        <v/>
      </c>
      <c r="M12" s="35" t="inlineStr">
        <is>
          <t>None</t>
        </is>
      </c>
      <c r="N12" s="61" t="n">
        <v>0</v>
      </c>
      <c r="O12" s="35" t="n">
        <v>0</v>
      </c>
      <c r="P12" s="62">
        <f>IFERROR(N12*O12,"n/d")</f>
        <v/>
      </c>
      <c r="Q12" s="63">
        <f>IFERROR(H12+L12+P12,"incomplete")</f>
        <v/>
      </c>
      <c r="R12" s="63">
        <f>IF(A12="Boosters",SUM(H12,P12),SUM(H12,L12,P12))</f>
        <v/>
      </c>
      <c r="S12" s="35">
        <f>IF(A12="Boosters",IF(AND(ISNUMBER(H12),ISNUMBER(P12)),"complete","PARTIAL"),IF(ISNUMBER(Q12),"complete","PARTIAL"))</f>
        <v/>
      </c>
      <c r="T12" s="64" t="n">
        <v>5192</v>
      </c>
      <c r="U12" s="64" t="n">
        <v>0</v>
      </c>
      <c r="V12" s="65">
        <f>IFERROR(T12-U12,"n/d")</f>
        <v/>
      </c>
      <c r="W12" s="64" t="n">
        <v>2857</v>
      </c>
      <c r="X12" s="65">
        <f>IFERROR(V12-W12,"n/d")</f>
        <v/>
      </c>
      <c r="Y12" s="65">
        <f>IFERROR(V12*g0,"n/d")</f>
        <v/>
      </c>
      <c r="Z12" s="66">
        <f>IF(AND(S12="PARTIAL",R12=0),"n/d",IFERROR(R12/Y12,"n/d"))</f>
        <v/>
      </c>
      <c r="AA12" s="67">
        <f>IFERROR(X12/V12,"n/d")</f>
        <v/>
      </c>
      <c r="AB12" s="68">
        <f>IFERROR(V12/W12,IFERROR(V12/(V12-X12),"n/d"))</f>
        <v/>
      </c>
      <c r="AC12" s="35" t="inlineStr">
        <is>
          <t>n/d</t>
        </is>
      </c>
      <c r="AD12" s="44">
        <f>IFERROR(AC12*g0*LN(AB12),"n/d")</f>
        <v/>
      </c>
      <c r="AE12" s="35" t="inlineStr">
        <is>
          <t>Direct - official page read (mass); thrust NOT published</t>
        </is>
      </c>
      <c r="AF12" s="35" t="inlineStr">
        <is>
          <t>T/W CANNOT BE CLOSED - and this is the finding, not a gap in the research. NOAA publishes fuelled AND dry mass (so PMF = 45.0% computes exactly) but publishes no propulsion thrust data whatsoever. No substitute was available: operational GEO communications and weather satellite operators essentially never release thruster ratings. Retained to document that.</t>
        </is>
      </c>
      <c r="AG12" s="35" t="inlineStr">
        <is>
          <t>NOT PUBLISHED by NOAA/NASA/Lockheed Martin</t>
        </is>
      </c>
      <c r="AH12" s="35" t="inlineStr">
        <is>
          <t>NOT PUBLISHED by NOAA/NASA/Lockheed Martin</t>
        </is>
      </c>
      <c r="AI12" s="35" t="inlineStr">
        <is>
          <t>NOAA GOES-R Series Spacecraft: fuelled 11,446 lb (5,192 kg), dry 6,299 lb (2,857 kg): https://goes-r.noaa.gov/spacesegment/spacecraft.html</t>
        </is>
      </c>
      <c r="AJ12" s="35" t="inlineStr">
        <is>
          <t>n/d - NOAA publishes no thruster count</t>
        </is>
      </c>
      <c r="AK12" s="45" t="inlineStr">
        <is>
          <t>n/a</t>
        </is>
      </c>
      <c r="AL12" s="45" t="inlineStr">
        <is>
          <t>n/a</t>
        </is>
      </c>
      <c r="AM12" s="45" t="inlineStr">
        <is>
          <t>n/a</t>
        </is>
      </c>
      <c r="AN12" s="46">
        <f>IFERROR(AM12+1,"n/a")</f>
        <v/>
      </c>
      <c r="AO12" s="47">
        <f>IFERROR(MAX(0,AK12-AN12),"n/a")</f>
        <v/>
      </c>
      <c r="AP12" s="47">
        <f>IFERROR(MAX(0,FLOOR(AK12/AL12,1)-1),"n/a")</f>
        <v/>
      </c>
      <c r="AQ12" s="46">
        <f>IF(A12="Boosters",IFERROR(MAX(0,MIN(G12-1,FLOOR((R12-T12*g0)/F12,1))),"n/a"),"n/a - not a liftoff vehicle")</f>
        <v/>
      </c>
      <c r="AR12" s="46">
        <f>IF(A12="Boosters",IFERROR(MAX(0,MIN(G12-1,FLOOR((R12-1.2*T12*g0)/F12,1))),"n/a"),"n/a - not a liftoff vehicle")</f>
        <v/>
      </c>
      <c r="AS12" s="45" t="inlineStr">
        <is>
          <t>n/a</t>
        </is>
      </c>
      <c r="AT12" s="35" t="inlineStr"/>
      <c r="AU12" s="47">
        <f>IFERROR(MAX(0,AS12-1),"n/a")</f>
        <v/>
      </c>
      <c r="AV12" s="35" t="inlineStr">
        <is>
          <t>Cannot be estimated - no thruster count or layout is published for the A2100A bus. Left empty rather than guessed.</t>
        </is>
      </c>
      <c r="AW12" s="35" t="inlineStr"/>
    </row>
    <row r="13" ht="104" customHeight="1">
      <c r="A13" s="35" t="inlineStr">
        <is>
          <t>GEO Satellites</t>
        </is>
      </c>
      <c r="B13" s="35" t="inlineStr">
        <is>
          <t>GOES-19 (GOES-U)</t>
        </is>
      </c>
      <c r="C13" s="35" t="inlineStr">
        <is>
          <t>NOAA / NASA</t>
        </is>
      </c>
      <c r="D13" s="35" t="inlineStr">
        <is>
          <t>Launch configuration (fuelled)</t>
        </is>
      </c>
      <c r="E13" s="35" t="inlineStr">
        <is>
          <t>Liquid apogee engine (Lockheed Martin A2100A bus)</t>
        </is>
      </c>
      <c r="F13" s="61" t="inlineStr">
        <is>
          <t>n/d</t>
        </is>
      </c>
      <c r="G13" s="35" t="inlineStr">
        <is>
          <t>n/d</t>
        </is>
      </c>
      <c r="H13" s="62">
        <f>IFERROR(F13*G13,"n/d")</f>
        <v/>
      </c>
      <c r="I13" s="35" t="inlineStr">
        <is>
          <t>Chemical RCS thrusters</t>
        </is>
      </c>
      <c r="J13" s="61" t="inlineStr">
        <is>
          <t>n/d</t>
        </is>
      </c>
      <c r="K13" s="35" t="inlineStr">
        <is>
          <t>n/d</t>
        </is>
      </c>
      <c r="L13" s="62">
        <f>IFERROR(J13*K13,"n/d")</f>
        <v/>
      </c>
      <c r="M13" s="35" t="inlineStr">
        <is>
          <t>None</t>
        </is>
      </c>
      <c r="N13" s="61" t="n">
        <v>0</v>
      </c>
      <c r="O13" s="35" t="n">
        <v>0</v>
      </c>
      <c r="P13" s="62">
        <f>IFERROR(N13*O13,"n/d")</f>
        <v/>
      </c>
      <c r="Q13" s="63">
        <f>IFERROR(H13+L13+P13,"incomplete")</f>
        <v/>
      </c>
      <c r="R13" s="63">
        <f>IF(A13="Boosters",SUM(H13,P13),SUM(H13,L13,P13))</f>
        <v/>
      </c>
      <c r="S13" s="35">
        <f>IF(A13="Boosters",IF(AND(ISNUMBER(H13),ISNUMBER(P13)),"complete","PARTIAL"),IF(ISNUMBER(Q13),"complete","PARTIAL"))</f>
        <v/>
      </c>
      <c r="T13" s="64" t="n">
        <v>5000</v>
      </c>
      <c r="U13" s="64" t="n">
        <v>0</v>
      </c>
      <c r="V13" s="65">
        <f>IFERROR(T13-U13,"n/d")</f>
        <v/>
      </c>
      <c r="W13" s="64" t="n">
        <v>2925</v>
      </c>
      <c r="X13" s="65">
        <f>IFERROR(V13-W13,"n/d")</f>
        <v/>
      </c>
      <c r="Y13" s="65">
        <f>IFERROR(V13*g0,"n/d")</f>
        <v/>
      </c>
      <c r="Z13" s="66">
        <f>IF(AND(S13="PARTIAL",R13=0),"n/d",IFERROR(R13/Y13,"n/d"))</f>
        <v/>
      </c>
      <c r="AA13" s="67">
        <f>IFERROR(X13/V13,"n/d")</f>
        <v/>
      </c>
      <c r="AB13" s="68">
        <f>IFERROR(V13/W13,IFERROR(V13/(V13-X13),"n/d"))</f>
        <v/>
      </c>
      <c r="AC13" s="35" t="inlineStr">
        <is>
          <t>n/d</t>
        </is>
      </c>
      <c r="AD13" s="44">
        <f>IFERROR(AC13*g0*LN(AB13),"n/d")</f>
        <v/>
      </c>
      <c r="AE13" s="35" t="inlineStr">
        <is>
          <t>Direct - official page read (mass); thrust NOT published</t>
        </is>
      </c>
      <c r="AF13" s="35" t="inlineStr">
        <is>
          <t>T/W CANNOT BE CLOSED (same reason as GOES-16). Kept because the mass split is instructive: dry mass is HIGHER than GOES-16 while fuelled mass is LOWER, since GOES-U carries the extra CCOR coronagraph and correspondingly less propellant. PMF drops from 45.0% to 41.5% across two satellites of the same bus.</t>
        </is>
      </c>
      <c r="AG13" s="35" t="inlineStr">
        <is>
          <t>NOT PUBLISHED by NOAA/NASA/Lockheed Martin</t>
        </is>
      </c>
      <c r="AH13" s="35" t="inlineStr">
        <is>
          <t>NOT PUBLISHED by NOAA/NASA/Lockheed Martin</t>
        </is>
      </c>
      <c r="AI13" s="35" t="inlineStr">
        <is>
          <t>NOAA GOES-R Series Spacecraft: fuelled 11,023 lb (5,000 kg), dry 6,450 lb (2,925 kg): https://goes-r.noaa.gov/spacesegment/spacecraft.html</t>
        </is>
      </c>
      <c r="AJ13" s="35" t="inlineStr">
        <is>
          <t>n/d - NOAA publishes no thruster count</t>
        </is>
      </c>
      <c r="AK13" s="45" t="inlineStr">
        <is>
          <t>n/a</t>
        </is>
      </c>
      <c r="AL13" s="45" t="inlineStr">
        <is>
          <t>n/a</t>
        </is>
      </c>
      <c r="AM13" s="45" t="inlineStr">
        <is>
          <t>n/a</t>
        </is>
      </c>
      <c r="AN13" s="46">
        <f>IFERROR(AM13+1,"n/a")</f>
        <v/>
      </c>
      <c r="AO13" s="47">
        <f>IFERROR(MAX(0,AK13-AN13),"n/a")</f>
        <v/>
      </c>
      <c r="AP13" s="47">
        <f>IFERROR(MAX(0,FLOOR(AK13/AL13,1)-1),"n/a")</f>
        <v/>
      </c>
      <c r="AQ13" s="46">
        <f>IF(A13="Boosters",IFERROR(MAX(0,MIN(G13-1,FLOOR((R13-T13*g0)/F13,1))),"n/a"),"n/a - not a liftoff vehicle")</f>
        <v/>
      </c>
      <c r="AR13" s="46">
        <f>IF(A13="Boosters",IFERROR(MAX(0,MIN(G13-1,FLOOR((R13-1.2*T13*g0)/F13,1))),"n/a"),"n/a - not a liftoff vehicle")</f>
        <v/>
      </c>
      <c r="AS13" s="45" t="inlineStr">
        <is>
          <t>n/a</t>
        </is>
      </c>
      <c r="AT13" s="35" t="inlineStr"/>
      <c r="AU13" s="47">
        <f>IFERROR(MAX(0,AS13-1),"n/a")</f>
        <v/>
      </c>
      <c r="AV13" s="35" t="inlineStr">
        <is>
          <t>Cannot be estimated - see GOES-16.</t>
        </is>
      </c>
      <c r="AW13" s="35" t="inlineStr"/>
    </row>
    <row r="14" ht="104" customHeight="1">
      <c r="A14" s="35" t="inlineStr">
        <is>
          <t>Crewed Vehicles</t>
        </is>
      </c>
      <c r="B14" s="35" t="inlineStr">
        <is>
          <t>Orion (CM + European Service Module)</t>
        </is>
      </c>
      <c r="C14" s="35" t="inlineStr">
        <is>
          <t>NASA / ESA / Airbus</t>
        </is>
      </c>
      <c r="D14" s="35" t="inlineStr">
        <is>
          <t>Artemis I, post-insertion</t>
        </is>
      </c>
      <c r="E14" s="35" t="inlineStr">
        <is>
          <t>OMS-E (refurbished Shuttle OMS engine, gimballed = TVC)</t>
        </is>
      </c>
      <c r="F14" s="61" t="n">
        <v>26700</v>
      </c>
      <c r="G14" s="35" t="n">
        <v>1</v>
      </c>
      <c r="H14" s="62">
        <f>IFERROR(F14*G14,"n/d")</f>
        <v/>
      </c>
      <c r="I14" s="35" t="inlineStr">
        <is>
          <t>216 N RCS thruster (ArianeGroup, ATV-derived), 6 clusters of 4</t>
        </is>
      </c>
      <c r="J14" s="61" t="n">
        <v>216</v>
      </c>
      <c r="K14" s="35" t="n">
        <v>24</v>
      </c>
      <c r="L14" s="62">
        <f>IFERROR(J14*K14,"n/d")</f>
        <v/>
      </c>
      <c r="M14" s="35" t="inlineStr">
        <is>
          <t>Auxiliary engine (Aerojet Rocketdyne R-4D-11, 164:1 nozzle)</t>
        </is>
      </c>
      <c r="N14" s="61" t="n">
        <v>489</v>
      </c>
      <c r="O14" s="35" t="n">
        <v>8</v>
      </c>
      <c r="P14" s="62">
        <f>IFERROR(N14*O14,"n/d")</f>
        <v/>
      </c>
      <c r="Q14" s="63">
        <f>IFERROR(H14+L14+P14,"incomplete")</f>
        <v/>
      </c>
      <c r="R14" s="63">
        <f>IF(A14="Boosters",SUM(H14,P14),SUM(H14,L14,P14))</f>
        <v/>
      </c>
      <c r="S14" s="35">
        <f>IF(A14="Boosters",IF(AND(ISNUMBER(H14),ISNUMBER(P14)),"complete","PARTIAL"),IF(ISNUMBER(Q14),"complete","PARTIAL"))</f>
        <v/>
      </c>
      <c r="T14" s="64" t="n">
        <v>26536</v>
      </c>
      <c r="U14" s="64" t="n">
        <v>0</v>
      </c>
      <c r="V14" s="65">
        <f>IFERROR(T14-U14,"n/d")</f>
        <v/>
      </c>
      <c r="W14" s="64" t="n"/>
      <c r="X14" s="65" t="n">
        <v>8618</v>
      </c>
      <c r="Y14" s="65">
        <f>IFERROR(V14*g0,"n/d")</f>
        <v/>
      </c>
      <c r="Z14" s="66">
        <f>IF(AND(S14="PARTIAL",R14=0),"n/d",IFERROR(R14/Y14,"n/d"))</f>
        <v/>
      </c>
      <c r="AA14" s="67">
        <f>IFERROR(X14/V14,"n/d")</f>
        <v/>
      </c>
      <c r="AB14" s="68">
        <f>IFERROR(V14/W14,IFERROR(V14/(V14-X14),"n/d"))</f>
        <v/>
      </c>
      <c r="AC14" s="35" t="n">
        <v>310</v>
      </c>
      <c r="AD14" s="44">
        <f>IFERROR(AC14*g0*LN(AB14),"n/d")</f>
        <v/>
      </c>
      <c r="AE14" s="35" t="inlineStr">
        <is>
          <t>Direct - primary doc read</t>
        </is>
      </c>
      <c r="AF14" s="35" t="inlineStr">
        <is>
          <t>BEST-DOCUMENTED ROW IN THE SHEET - all three propulsion tiers published with counts. Total 26,700 + 24x216 + 8x489 = 35,796 N. Only the OMS-E gimbals (true TVC); Aux pitch/yaw is by off-pulsing a subset of the 8 engines. Isp 310 s is the Aux engine requirement value, so the ideal delta-v shown is indicative for that tier, not a full mission budget. Mass is CM+SM at insertion.</t>
        </is>
      </c>
      <c r="AG14" s="35" t="inlineStr">
        <is>
          <t>NASA NTRS 20240003648, Belair, 'Artemis I Orion-ESM Propulsion System Engine Performance', Tab. 2 (OMS-E 26.7 kN), Tab. 3/4 (Aux 489 N x8): https://ntrs.nasa.gov/api/citations/20240003648/downloads/382_BELAIR_ARTEMIS_I_ENGINE_PERFORMANCE_FINAL.pdf</t>
        </is>
      </c>
      <c r="AH14" s="35" t="inlineStr">
        <is>
          <t>Same NTRS 20240003648, Tab. 5: 'Thrust 216 N'; twenty-four RCS thrusters in six clusters of four</t>
        </is>
      </c>
      <c r="AI14" s="35" t="inlineStr">
        <is>
          <t>NASA 'Orion by the Numbers' (2026): CM+SM insertion mass 58,500 lb (26,536 kg); usable propellant 19,000 lb (8,618 kg): https://www.nasa.gov/wp-content/uploads/2026/01/orion-by-the-numbers-2026b.pdf</t>
        </is>
      </c>
      <c r="AJ14" s="35" t="inlineStr">
        <is>
          <t>Attitude tier: 24 x 216 N RCS thrusters</t>
        </is>
      </c>
      <c r="AK14" s="45" t="n">
        <v>24</v>
      </c>
      <c r="AL14" s="45" t="n">
        <v>6</v>
      </c>
      <c r="AM14" s="45" t="n">
        <v>6</v>
      </c>
      <c r="AN14" s="46">
        <f>IFERROR(AM14+1,"n/a")</f>
        <v/>
      </c>
      <c r="AO14" s="47">
        <f>IFERROR(MAX(0,AK14-AN14),"n/a")</f>
        <v/>
      </c>
      <c r="AP14" s="47">
        <f>IFERROR(MAX(0,FLOOR(AK14/AL14,1)-1),"n/a")</f>
        <v/>
      </c>
      <c r="AQ14" s="46">
        <f>IF(A14="Boosters",IFERROR(MAX(0,MIN(G14-1,FLOOR((R14-T14*g0)/F14,1))),"n/a"),"n/a - not a liftoff vehicle")</f>
        <v/>
      </c>
      <c r="AR14" s="46">
        <f>IF(A14="Boosters",IFERROR(MAX(0,MIN(G14-1,FLOOR((R14-1.2*T14*g0)/F14,1))),"n/a"),"n/a - not a liftoff vehicle")</f>
        <v/>
      </c>
      <c r="AS14" s="45" t="n">
        <v>1</v>
      </c>
      <c r="AT14" s="35" t="inlineStr">
        <is>
          <t>1 x OMS-E (the 8 auxiliary engines are their own tier)</t>
        </is>
      </c>
      <c r="AU14" s="47">
        <f>IFERROR(MAX(0,AS14-1),"n/a")</f>
        <v/>
      </c>
      <c r="AV14" s="35" t="inlineStr">
        <is>
          <t>STRONGEST CASE IN THE SHEET - both N and k are published, and so is the functional split. NASA states the 24 thrusters form 'six clusters of four', of which 'four provide pitch and yaw' and 'the remaining two clusters provide roll control'. ROLL IS THE BINDING CONSTRAINT: only 2 clusters (8 thrusters) generate roll, split roughly 4 per direction, so losing 4 roll-positive thrusters removes roll authority. Worst case = 3 therefore comes from the published geometry, not from the generic N/k rule - and the two happen to agree (24/6 - 1 = 3), which is a useful validation of the generic rule.</t>
        </is>
      </c>
      <c r="AW14" s="35" t="inlineStr">
        <is>
          <t>PROPULSIVE REDUNDANCY 0. Counted as the OMS-E alone. An earlier revision counted 9 (OMS-E + 8 auxiliary engines) and scored 8 - that was the only row in the sheet whose propulsive count spanned two thrust tiers, and it credited the auxiliary engines twice, since they already appear as their own tier. Apollo LM is the direct precedent: it has an aux tier (the APS) and still counts 1. WORTH KNOWING: Orion really does have a backup translational path - NASA describes the 8 R-4D-11s as 'a redundant method for translational thrust' and they flew six burns on Artemis I - so 0 understates the true design margin. The consistent-counting rule is preferred here over crediting it, but the caveat matters.</t>
        </is>
      </c>
    </row>
    <row r="15" ht="104" customHeight="1">
      <c r="A15" s="35" t="inlineStr">
        <is>
          <t>Crewed Vehicles</t>
        </is>
      </c>
      <c r="B15" s="35" t="inlineStr">
        <is>
          <t>Apollo Command &amp; Service Module</t>
        </is>
      </c>
      <c r="C15" s="35" t="inlineStr">
        <is>
          <t>NASA / North American Rockwell</t>
        </is>
      </c>
      <c r="D15" s="35" t="inlineStr">
        <is>
          <t>Translunar, Block II</t>
        </is>
      </c>
      <c r="E15" s="35" t="inlineStr">
        <is>
          <t>SPS (Service Propulsion System, Aerojet AJ10-137, gimballed = TVC)</t>
        </is>
      </c>
      <c r="F15" s="61" t="n">
        <v>91190</v>
      </c>
      <c r="G15" s="35" t="n">
        <v>1</v>
      </c>
      <c r="H15" s="62">
        <f>IFERROR(F15*G15,"n/d")</f>
        <v/>
      </c>
      <c r="I15" s="35" t="inlineStr">
        <is>
          <t>SM RCS engine, 100 lbf, 4 quads x 4 engines</t>
        </is>
      </c>
      <c r="J15" s="61" t="n">
        <v>445</v>
      </c>
      <c r="K15" s="35" t="n">
        <v>16</v>
      </c>
      <c r="L15" s="62">
        <f>IFERROR(J15*K15,"n/d")</f>
        <v/>
      </c>
      <c r="M15" s="35" t="inlineStr">
        <is>
          <t>None</t>
        </is>
      </c>
      <c r="N15" s="61" t="n">
        <v>0</v>
      </c>
      <c r="O15" s="35" t="n">
        <v>0</v>
      </c>
      <c r="P15" s="62">
        <f>IFERROR(N15*O15,"n/d")</f>
        <v/>
      </c>
      <c r="Q15" s="63">
        <f>IFERROR(H15+L15+P15,"incomplete")</f>
        <v/>
      </c>
      <c r="R15" s="63">
        <f>IF(A15="Boosters",SUM(H15,P15),SUM(H15,L15,P15))</f>
        <v/>
      </c>
      <c r="S15" s="35">
        <f>IF(A15="Boosters",IF(AND(ISNUMBER(H15),ISNUMBER(P15)),"complete","PARTIAL"),IF(ISNUMBER(Q15),"complete","PARTIAL"))</f>
        <v/>
      </c>
      <c r="T15" s="64" t="n">
        <v>30320</v>
      </c>
      <c r="U15" s="64" t="n">
        <v>0</v>
      </c>
      <c r="V15" s="65">
        <f>IFERROR(T15-U15,"n/d")</f>
        <v/>
      </c>
      <c r="W15" s="64" t="inlineStr">
        <is>
          <t>n/d</t>
        </is>
      </c>
      <c r="X15" s="65" t="n">
        <v>18410</v>
      </c>
      <c r="Y15" s="65">
        <f>IFERROR(V15*g0,"n/d")</f>
        <v/>
      </c>
      <c r="Z15" s="66">
        <f>IF(AND(S15="PARTIAL",R15=0),"n/d",IFERROR(R15/Y15,"n/d"))</f>
        <v/>
      </c>
      <c r="AA15" s="67">
        <f>IFERROR(X15/V15,"n/d")</f>
        <v/>
      </c>
      <c r="AB15" s="68">
        <f>IFERROR(V15/W15,IFERROR(V15/(V15-X15),"n/d"))</f>
        <v/>
      </c>
      <c r="AC15" s="35" t="n">
        <v>314</v>
      </c>
      <c r="AD15" s="44">
        <f>IFERROR(AC15*g0*LN(AB15),"n/d")</f>
        <v/>
      </c>
      <c r="AE15" s="35" t="inlineStr">
        <is>
          <t>Direct - primary doc read (RCS); AOH value for SPS</t>
        </is>
      </c>
      <c r="AF15" s="35" t="inlineStr">
        <is>
          <t>SM RCS only - the 12 Command Module RCS thrusters used after CM/SM separation are EXCLUDED as a separate, independently-fed system. SPS THRUST NEEDS CROSS-CHECKING: the Apollo Operations Handbook gives 20,500 lbf, but NTRS reports quote 20,000 lbf and 21,500 lbf vacuum for different builds. Mass is the late-J-mission CSM; verify against your specific mission. PMF of 60.7% is the highest of any crewed vehicle here.</t>
        </is>
      </c>
      <c r="AG15" s="35" t="inlineStr">
        <is>
          <t>NASA Apollo Operations Handbook v1, Sec. 2.4 SPS (20,500 lbf): https://history.nasa.gov/afj/aoh/aoh-v1-2-04-sps.pdf  |  cross-check NTRS 19730023031</t>
        </is>
      </c>
      <c r="AH15" s="35" t="inlineStr">
        <is>
          <t>NASA NTRS 19730017174, 'Apollo Experience Report - CSM Reaction Control Systems': 'Each of the four engines on each SM quad was a pulse-modulated, radiation-cooled, 100-pound thruster': https://ntrs.nasa.gov/api/citations/19730017174/downloads/19730017174.pdf</t>
        </is>
      </c>
      <c r="AI15" s="35" t="inlineStr">
        <is>
          <t>NASA NSSDCA Apollo CSM entries - VERIFY for your specific mission: https://nssdc.gsfc.nasa.gov/nmc/spacecraft/display.action?id=1969-059A</t>
        </is>
      </c>
      <c r="AJ15" s="35" t="inlineStr">
        <is>
          <t>Attitude tier: 16 x 445 N SM RCS engines</t>
        </is>
      </c>
      <c r="AK15" s="45" t="n">
        <v>16</v>
      </c>
      <c r="AL15" s="45" t="n">
        <v>4</v>
      </c>
      <c r="AM15" s="45" t="n">
        <v>6</v>
      </c>
      <c r="AN15" s="46">
        <f>IFERROR(AM15+1,"n/a")</f>
        <v/>
      </c>
      <c r="AO15" s="47">
        <f>IFERROR(MAX(0,AK15-AN15),"n/a")</f>
        <v/>
      </c>
      <c r="AP15" s="47">
        <f>IFERROR(MAX(0,FLOOR(AK15/AL15,1)-1),"n/a")</f>
        <v/>
      </c>
      <c r="AQ15" s="46">
        <f>IF(A15="Boosters",IFERROR(MAX(0,MIN(G15-1,FLOOR((R15-T15*g0)/F15,1))),"n/a"),"n/a - not a liftoff vehicle")</f>
        <v/>
      </c>
      <c r="AR15" s="46">
        <f>IF(A15="Boosters",IFERROR(MAX(0,MIN(G15-1,FLOOR((R15-1.2*T15*g0)/F15,1))),"n/a"),"n/a - not a liftoff vehicle")</f>
        <v/>
      </c>
      <c r="AS15" s="45" t="n">
        <v>1</v>
      </c>
      <c r="AT15" s="35" t="inlineStr">
        <is>
          <t>1 x SPS</t>
        </is>
      </c>
      <c r="AU15" s="47">
        <f>IFERROR(MAX(0,AS15-1),"n/a")</f>
        <v/>
      </c>
      <c r="AV15" s="35" t="inlineStr">
        <is>
          <t>k = 4 is published (four quads of four). Worst case = 3 corresponds to losing all four thrusters acting in one direction. Historically consistent: Apollo flight rules accepted continuing with quads disabled, and the SM RCS was designed to retain three-axis control with two of four quads - which brackets this estimate from the optimistic side. Best case = 12.</t>
        </is>
      </c>
      <c r="AW15" s="35" t="inlineStr">
        <is>
          <t>REDUNDANCY 0 - a true single-point failure. A dead SPS meant no lunar orbit insertion and no trans-Earth injection. This is why Apollo mission rules leaned on the LM descent engine as the backup propulsion path, which is exactly what saved Apollo 13. That backup is a different VEHICLE, so it cannot be counted here.</t>
        </is>
      </c>
    </row>
    <row r="16" ht="104" customHeight="1">
      <c r="A16" s="35" t="inlineStr">
        <is>
          <t>Crewed Vehicles</t>
        </is>
      </c>
      <c r="B16" s="35" t="inlineStr">
        <is>
          <t>Apollo Lunar Module</t>
        </is>
      </c>
      <c r="C16" s="35" t="inlineStr">
        <is>
          <t>NASA / Grumman</t>
        </is>
      </c>
      <c r="D16" s="35" t="inlineStr">
        <is>
          <t>Apollo 11, at translunar separation</t>
        </is>
      </c>
      <c r="E16" s="35" t="inlineStr">
        <is>
          <t>DPS descent engine (throttleable, gimballed = TVC), max thrust</t>
        </is>
      </c>
      <c r="F16" s="61" t="n">
        <v>46700</v>
      </c>
      <c r="G16" s="35" t="n">
        <v>1</v>
      </c>
      <c r="H16" s="62">
        <f>IFERROR(F16*G16,"n/d")</f>
        <v/>
      </c>
      <c r="I16" s="35" t="inlineStr">
        <is>
          <t>LM RCS thrust chamber assembly, 100 lbf, 4 quads x 4</t>
        </is>
      </c>
      <c r="J16" s="61" t="n">
        <v>445</v>
      </c>
      <c r="K16" s="35" t="n">
        <v>16</v>
      </c>
      <c r="L16" s="62">
        <f>IFERROR(J16*K16,"n/d")</f>
        <v/>
      </c>
      <c r="M16" s="35" t="inlineStr">
        <is>
          <t>APS ascent engine (fixed, ascent stage only)</t>
        </is>
      </c>
      <c r="N16" s="61" t="n">
        <v>15500</v>
      </c>
      <c r="O16" s="35" t="n">
        <v>1</v>
      </c>
      <c r="P16" s="62">
        <f>IFERROR(N16*O16,"n/d")</f>
        <v/>
      </c>
      <c r="Q16" s="63">
        <f>IFERROR(H16+L16+P16,"incomplete")</f>
        <v/>
      </c>
      <c r="R16" s="63">
        <f>IF(A16="Boosters",SUM(H16,P16),SUM(H16,L16,P16))</f>
        <v/>
      </c>
      <c r="S16" s="35">
        <f>IF(A16="Boosters",IF(AND(ISNUMBER(H16),ISNUMBER(P16)),"complete","PARTIAL"),IF(ISNUMBER(Q16),"complete","PARTIAL"))</f>
        <v/>
      </c>
      <c r="T16" s="64" t="n">
        <v>15103</v>
      </c>
      <c r="U16" s="64" t="n">
        <v>0</v>
      </c>
      <c r="V16" s="65">
        <f>IFERROR(T16-U16,"n/d")</f>
        <v/>
      </c>
      <c r="W16" s="64" t="n">
        <v>4479</v>
      </c>
      <c r="X16" s="65" t="n">
        <v>10624</v>
      </c>
      <c r="Y16" s="65">
        <f>IFERROR(V16*g0,"n/d")</f>
        <v/>
      </c>
      <c r="Z16" s="66">
        <f>IF(AND(S16="PARTIAL",R16=0),"n/d",IFERROR(R16/Y16,"n/d"))</f>
        <v/>
      </c>
      <c r="AA16" s="67">
        <f>IFERROR(X16/V16,"n/d")</f>
        <v/>
      </c>
      <c r="AB16" s="68">
        <f>IFERROR(V16/W16,IFERROR(V16/(V16-X16),"n/d"))</f>
        <v/>
      </c>
      <c r="AC16" s="35" t="n">
        <v>311</v>
      </c>
      <c r="AD16" s="44">
        <f>IFERROR(AC16*g0*LN(AB16),"n/d")</f>
        <v/>
      </c>
      <c r="AE16" s="35" t="inlineStr">
        <is>
          <t>Direct - primary doc read</t>
        </is>
      </c>
      <c r="AF16" s="35" t="inlineStr">
        <is>
          <t>DPS AND APS NEVER FIRE TOGETHER - the stages separate, so the 69,320 N total is INSTALLED thrust, not a simultaneous capability. For a landing T/W use the DPS alone against the descent mass. Mass bookkeeping is fully self-consistent: ascent 2,445 dry + 2,376 prop, descent 2,034 dry + 8,248 prop = 15,103 kg, giving the highest PMF of any crewed vehicle in this sheet (70.3%) - the price of landing and taking off again.</t>
        </is>
      </c>
      <c r="AG16" s="35" t="inlineStr">
        <is>
          <t>NASA NTRS 20090016298, 'Apollo Lunar Module Propulsion Systems Overview': DPS 'Max Thrust - 46.7 kN (10,500 lbs)'; APS 'Nominal Thrust was 15.5 kN (3500 lbf)': https://ntrs.nasa.gov/api/citations/20090016298/downloads/20090016298.pdf</t>
        </is>
      </c>
      <c r="AH16" s="35" t="inlineStr">
        <is>
          <t>Same NTRS 20090016298: '16 thrust chamber assemblies (TCA's)', 'Each produced about 445 N (100 lbf) of thrust'</t>
        </is>
      </c>
      <c r="AI16" s="35" t="inlineStr">
        <is>
          <t>NASA NSSDCA, Apollo 11 Lunar Module (1969-059C): total 15,103 kg; ascent stage 2,445 kg dry + 2,376 kg propellant; descent stage 2,034 kg dry + 8,248 kg propellant: https://nssdc.gsfc.nasa.gov/nmc/spacecraft/display.action?id=1969-059C</t>
        </is>
      </c>
      <c r="AJ16" s="35" t="inlineStr">
        <is>
          <t>Attitude tier: 16 x 445 N RCS thrust chamber assemblies</t>
        </is>
      </c>
      <c r="AK16" s="45" t="n">
        <v>16</v>
      </c>
      <c r="AL16" s="45" t="n">
        <v>4</v>
      </c>
      <c r="AM16" s="45" t="n">
        <v>6</v>
      </c>
      <c r="AN16" s="46">
        <f>IFERROR(AM16+1,"n/a")</f>
        <v/>
      </c>
      <c r="AO16" s="47">
        <f>IFERROR(MAX(0,AK16-AN16),"n/a")</f>
        <v/>
      </c>
      <c r="AP16" s="47">
        <f>IFERROR(MAX(0,FLOOR(AK16/AL16,1)-1),"n/a")</f>
        <v/>
      </c>
      <c r="AQ16" s="46">
        <f>IF(A16="Boosters",IFERROR(MAX(0,MIN(G16-1,FLOOR((R16-T16*g0)/F16,1))),"n/a"),"n/a - not a liftoff vehicle")</f>
        <v/>
      </c>
      <c r="AR16" s="46">
        <f>IF(A16="Boosters",IFERROR(MAX(0,MIN(G16-1,FLOOR((R16-1.2*T16*g0)/F16,1))),"n/a"),"n/a - not a liftoff vehicle")</f>
        <v/>
      </c>
      <c r="AS16" s="45" t="n">
        <v>1</v>
      </c>
      <c r="AT16" s="35" t="inlineStr">
        <is>
          <t>1 x DPS (descent) / 1 x APS (ascent), single-string each</t>
        </is>
      </c>
      <c r="AU16" s="47">
        <f>IFERROR(MAX(0,AS16-1),"n/a")</f>
        <v/>
      </c>
      <c r="AV16" s="35" t="inlineStr">
        <is>
          <t>Same 4-quad geometry as the CSM, so the same bounds apply (best 12, worst 3). IMPORTANT ASYMMETRY: unlike an orbiting spacecraft, the LM had no abort-to-orbit margin during descent, so the OPERATIONALLY acceptable failure count was far below the geometric worst case. Redundancy bounds describe controllability, not mission risk acceptance - a distinction worth making explicitly in a thesis.</t>
        </is>
      </c>
      <c r="AW16" s="35" t="inlineStr">
        <is>
          <t>REDUNDANCY 0 IN BOTH PHASES, and the harshest case in the sheet. DPS and APS are not redundant with each other - they serve sequential phases and the descent stage is discarded before ascent. The APS in particular had no backup whatsoever and no abort mode: its failure on the lunar surface was unsurvivable. Grumman mitigated this with extreme simplicity (pressure-fed, ablatively cooled, no throttle) rather than with redundancy.</t>
        </is>
      </c>
    </row>
    <row r="17" ht="104" customHeight="1">
      <c r="A17" s="35" t="inlineStr">
        <is>
          <t>Crewed Vehicles</t>
        </is>
      </c>
      <c r="B17" s="35" t="inlineStr">
        <is>
          <t>Crew Dragon (Dragon 2)</t>
        </is>
      </c>
      <c r="C17" s="35" t="inlineStr">
        <is>
          <t>SpaceX</t>
        </is>
      </c>
      <c r="D17" s="35" t="inlineStr">
        <is>
          <t>Launch configuration</t>
        </is>
      </c>
      <c r="E17" s="35" t="inlineStr">
        <is>
          <t>SuperDraco abort engine, ~15,000 lbf each</t>
        </is>
      </c>
      <c r="F17" s="61" t="n">
        <v>66723</v>
      </c>
      <c r="G17" s="35" t="n">
        <v>8</v>
      </c>
      <c r="H17" s="62">
        <f>IFERROR(F17*G17,"n/d")</f>
        <v/>
      </c>
      <c r="I17" s="35" t="inlineStr">
        <is>
          <t>Draco thruster, 90 lbf</t>
        </is>
      </c>
      <c r="J17" s="61" t="n">
        <v>400</v>
      </c>
      <c r="K17" s="35" t="n">
        <v>16</v>
      </c>
      <c r="L17" s="62">
        <f>IFERROR(J17*K17,"n/d")</f>
        <v/>
      </c>
      <c r="M17" s="35" t="inlineStr">
        <is>
          <t>None</t>
        </is>
      </c>
      <c r="N17" s="61" t="n">
        <v>0</v>
      </c>
      <c r="O17" s="35" t="n">
        <v>0</v>
      </c>
      <c r="P17" s="62">
        <f>IFERROR(N17*O17,"n/d")</f>
        <v/>
      </c>
      <c r="Q17" s="63">
        <f>IFERROR(H17+L17+P17,"incomplete")</f>
        <v/>
      </c>
      <c r="R17" s="63">
        <f>IF(A17="Boosters",SUM(H17,P17),SUM(H17,L17,P17))</f>
        <v/>
      </c>
      <c r="S17" s="35">
        <f>IF(A17="Boosters",IF(AND(ISNUMBER(H17),ISNUMBER(P17)),"complete","PARTIAL"),IF(ISNUMBER(Q17),"complete","PARTIAL"))</f>
        <v/>
      </c>
      <c r="T17" s="64" t="inlineStr">
        <is>
          <t>n/d</t>
        </is>
      </c>
      <c r="U17" s="64" t="n">
        <v>0</v>
      </c>
      <c r="V17" s="65">
        <f>IFERROR(T17-U17,"n/d")</f>
        <v/>
      </c>
      <c r="W17" s="64" t="inlineStr">
        <is>
          <t>n/d</t>
        </is>
      </c>
      <c r="X17" s="65">
        <f>IFERROR(V17-W17,"n/d")</f>
        <v/>
      </c>
      <c r="Y17" s="65">
        <f>IFERROR(V17*g0,"n/d")</f>
        <v/>
      </c>
      <c r="Z17" s="66">
        <f>IF(AND(S17="PARTIAL",R17=0),"n/d",IFERROR(R17/Y17,"n/d"))</f>
        <v/>
      </c>
      <c r="AA17" s="67">
        <f>IFERROR(X17/V17,"n/d")</f>
        <v/>
      </c>
      <c r="AB17" s="68">
        <f>IFERROR(V17/W17,IFERROR(V17/(V17-X17),"n/d"))</f>
        <v/>
      </c>
      <c r="AC17" s="35" t="inlineStr">
        <is>
          <t>n/d</t>
        </is>
      </c>
      <c r="AD17" s="44">
        <f>IFERROR(AC17*g0*LN(AB17),"n/d")</f>
        <v/>
      </c>
      <c r="AE17" s="35" t="inlineStr">
        <is>
          <t>Official page via search summary (thrust); mass NOT published</t>
        </is>
      </c>
      <c r="AF17" s="35" t="inlineStr">
        <is>
          <t>T/W CANNOT BE CLOSED - SpaceX publishes no Crew Dragon gross mass or propellant load in any official document I could reach, and no crewed substitute with fully official data was available beyond the four already in this category. ALSO NOTE: SuperDracos are an ABORT system that never fires in normal flight, so the 533,784 N they contribute is operationally misleading; for on-orbit manoeuvring use the Draco total of 6,400 N alone.</t>
        </is>
      </c>
      <c r="AG17" s="35" t="inlineStr">
        <is>
          <t>NASA: 'each instantly producing about 15,000 pounds of thrust', eight SuperDraco engines: https://www.nasa.gov/news-release/spacex-demonstrates-astronaut-escape-system-for-crew-dragon-spacecraft-2/</t>
        </is>
      </c>
      <c r="AH17" s="35" t="inlineStr">
        <is>
          <t>NASA Commercial Crew Program Press Kit: 16 Draco thrusters, each 90 lbf in vacuum: https://www.nasa.gov/commercial-crew-program-press-kit/</t>
        </is>
      </c>
      <c r="AI17" s="35" t="inlineStr">
        <is>
          <t>NOT PUBLISHED by SpaceX</t>
        </is>
      </c>
      <c r="AJ17" s="35" t="inlineStr">
        <is>
          <t>Attitude tier: 16 x 90 lbf Draco thrusters</t>
        </is>
      </c>
      <c r="AK17" s="45" t="n">
        <v>16</v>
      </c>
      <c r="AL17" s="45" t="n">
        <v>4</v>
      </c>
      <c r="AM17" s="45" t="n">
        <v>6</v>
      </c>
      <c r="AN17" s="46">
        <f>IFERROR(AM17+1,"n/a")</f>
        <v/>
      </c>
      <c r="AO17" s="47">
        <f>IFERROR(MAX(0,AK17-AN17),"n/a")</f>
        <v/>
      </c>
      <c r="AP17" s="47">
        <f>IFERROR(MAX(0,FLOOR(AK17/AL17,1)-1),"n/a")</f>
        <v/>
      </c>
      <c r="AQ17" s="46">
        <f>IF(A17="Boosters",IFERROR(MAX(0,MIN(G17-1,FLOOR((R17-T17*g0)/F17,1))),"n/a"),"n/a - not a liftoff vehicle")</f>
        <v/>
      </c>
      <c r="AR17" s="46">
        <f>IF(A17="Boosters",IFERROR(MAX(0,MIN(G17-1,FLOOR((R17-1.2*T17*g0)/F17,1))),"n/a"),"n/a - not a liftoff vehicle")</f>
        <v/>
      </c>
      <c r="AS17" s="45" t="inlineStr">
        <is>
          <t>n/a</t>
        </is>
      </c>
      <c r="AT17" s="35" t="inlineStr">
        <is>
          <t>none separable - the 16 Dracos are already the attitude tier</t>
        </is>
      </c>
      <c r="AU17" s="47">
        <f>IFERROR(MAX(0,AS17-1),"n/a")</f>
        <v/>
      </c>
      <c r="AV17" s="35" t="inlineStr">
        <is>
          <t>k = 4 is ASSUMED from the four visible Draco pod locations on the capsule; SpaceX publishes no layout. SuperDracos are deliberately EXCLUDED from this tier - they are abort actuators arranged in four pairs with their own failure logic, and mixing them into an attitude-control redundancy count would be misleading. Bounds are the generic geometric ones and should be treated as indicative.</t>
        </is>
      </c>
      <c r="AW17" s="35" t="inlineStr">
        <is>
          <t>NO SEPARATE PROPULSIVE TIER. The 16 Dracos do both attitude control and the deorbit burn, so they are counted once, in the attitude tier. The 8 SuperDracos are abort-only and contribute nothing to nominal mission completion, so there is no separable engine tier at all. OLD (wrong) value was 15. The DRACOS are counted, not the SuperDracos: orbital manoeuvring and the deorbit burn are performed by the 16 Dracos, while the 8 SuperDracos are abort-only and contribute nothing to nominal mission completion. Redundancy 15 by count is optimistic, though - Dracos are arranged in pods and the deorbit burn needs a specific thrust direction, so the effective figure is closer to the attitude-tier worst case.</t>
        </is>
      </c>
    </row>
    <row r="18" ht="104" customHeight="1">
      <c r="A18" s="35" t="inlineStr">
        <is>
          <t>Deep Space Probes</t>
        </is>
      </c>
      <c r="B18" s="35" t="inlineStr">
        <is>
          <t>Juno</t>
        </is>
      </c>
      <c r="C18" s="35" t="inlineStr">
        <is>
          <t>NASA / JPL / Lockheed Martin</t>
        </is>
      </c>
      <c r="D18" s="35" t="inlineStr">
        <is>
          <t>Launch configuration</t>
        </is>
      </c>
      <c r="E18" s="35" t="inlineStr">
        <is>
          <t>Leros-1b bipropellant main engine (FIXED, no gimbal)</t>
        </is>
      </c>
      <c r="F18" s="61" t="n">
        <v>645</v>
      </c>
      <c r="G18" s="35" t="n">
        <v>1</v>
      </c>
      <c r="H18" s="62">
        <f>IFERROR(F18*G18,"n/d")</f>
        <v/>
      </c>
      <c r="I18" s="35" t="inlineStr">
        <is>
          <t>Monopropellant hydrazine RCS thruster (4 rocket engine modules)</t>
        </is>
      </c>
      <c r="J18" s="61" t="inlineStr">
        <is>
          <t>n/d</t>
        </is>
      </c>
      <c r="K18" s="35" t="n">
        <v>12</v>
      </c>
      <c r="L18" s="62">
        <f>IFERROR(J18*K18,"n/d")</f>
        <v/>
      </c>
      <c r="M18" s="35" t="inlineStr">
        <is>
          <t>None</t>
        </is>
      </c>
      <c r="N18" s="61" t="n">
        <v>0</v>
      </c>
      <c r="O18" s="35" t="n">
        <v>0</v>
      </c>
      <c r="P18" s="62">
        <f>IFERROR(N18*O18,"n/d")</f>
        <v/>
      </c>
      <c r="Q18" s="63">
        <f>IFERROR(H18+L18+P18,"incomplete")</f>
        <v/>
      </c>
      <c r="R18" s="63">
        <f>IF(A18="Boosters",SUM(H18,P18),SUM(H18,L18,P18))</f>
        <v/>
      </c>
      <c r="S18" s="35">
        <f>IF(A18="Boosters",IF(AND(ISNUMBER(H18),ISNUMBER(P18)),"complete","PARTIAL"),IF(ISNUMBER(Q18),"complete","PARTIAL"))</f>
        <v/>
      </c>
      <c r="T18" s="64" t="n">
        <v>3625</v>
      </c>
      <c r="U18" s="64" t="n">
        <v>0</v>
      </c>
      <c r="V18" s="65">
        <f>IFERROR(T18-U18,"n/d")</f>
        <v/>
      </c>
      <c r="W18" s="64" t="n">
        <v>1593</v>
      </c>
      <c r="X18" s="65" t="n">
        <v>2032</v>
      </c>
      <c r="Y18" s="65">
        <f>IFERROR(V18*g0,"n/d")</f>
        <v/>
      </c>
      <c r="Z18" s="66">
        <f>IF(AND(S18="PARTIAL",R18=0),"n/d",IFERROR(R18/Y18,"n/d"))</f>
        <v/>
      </c>
      <c r="AA18" s="67">
        <f>IFERROR(X18/V18,"n/d")</f>
        <v/>
      </c>
      <c r="AB18" s="68">
        <f>IFERROR(V18/W18,IFERROR(V18/(V18-X18),"n/d"))</f>
        <v/>
      </c>
      <c r="AC18" s="35" t="inlineStr">
        <is>
          <t>n/d</t>
        </is>
      </c>
      <c r="AD18" s="44">
        <f>IFERROR(AC18*g0*LN(AB18),"n/d")</f>
        <v/>
      </c>
      <c r="AE18" s="35" t="inlineStr">
        <is>
          <t>Direct - primary doc read</t>
        </is>
      </c>
      <c r="AF18" s="35" t="inlineStr">
        <is>
          <t>The main engine is FIXED, not gimballed - Juno is spin-stabilised, so there is no TVC at all and attitude comes from the 12 RCS thrusters. JPL publishes the RCS count but NOT the per-thruster thrust, so per your rule the T/W is computed from the main engine alone (645 N). Propellant = 1,280 kg fuel + 752 kg oxidiser = 2,032 kg, an exceptionally high PMF of 56.1%.</t>
        </is>
      </c>
      <c r="AG18" s="35" t="inlineStr">
        <is>
          <t>NASA JPL Juno Launch Press Kit: 'The Leros-1b main engine is a 645-Newton bi-propellant thruster': https://www.jpl.nasa.gov/news/press_kits/JunoLaunch.pdf</t>
        </is>
      </c>
      <c r="AH18" s="35" t="inlineStr">
        <is>
          <t>Same press kit: 'The 12 reaction control system thrusters are mounted on four rocket engine modules' - thrust per thruster NOT published</t>
        </is>
      </c>
      <c r="AI18" s="35" t="inlineStr">
        <is>
          <t>Same press kit: 'Weight: 7,992 pounds (3,625 kilograms) total at launch, consisting of 3,513 pounds (1,593 kg) of spacecraft, 2,821 pounds (1,280 kg) of fuel and 1,658 pounds (752 kg) of oxidizer'</t>
        </is>
      </c>
      <c r="AJ18" s="35" t="inlineStr">
        <is>
          <t>Attitude tier: 12 monopropellant hydrazine RCS thrusters on 4 rocket engine modules</t>
        </is>
      </c>
      <c r="AK18" s="45" t="n">
        <v>12</v>
      </c>
      <c r="AL18" s="45" t="n">
        <v>4</v>
      </c>
      <c r="AM18" s="45" t="n">
        <v>2</v>
      </c>
      <c r="AN18" s="46">
        <f>IFERROR(AM18+1,"n/a")</f>
        <v/>
      </c>
      <c r="AO18" s="47">
        <f>IFERROR(MAX(0,AK18-AN18),"n/a")</f>
        <v/>
      </c>
      <c r="AP18" s="47">
        <f>IFERROR(MAX(0,FLOOR(AK18/AL18,1)-1),"n/a")</f>
        <v/>
      </c>
      <c r="AQ18" s="46">
        <f>IF(A18="Boosters",IFERROR(MAX(0,MIN(G18-1,FLOOR((R18-T18*g0)/F18,1))),"n/a"),"n/a - not a liftoff vehicle")</f>
        <v/>
      </c>
      <c r="AR18" s="46">
        <f>IF(A18="Boosters",IFERROR(MAX(0,MIN(G18-1,FLOOR((R18-1.2*T18*g0)/F18,1))),"n/a"),"n/a - not a liftoff vehicle")</f>
        <v/>
      </c>
      <c r="AS18" s="45" t="n">
        <v>1</v>
      </c>
      <c r="AT18" s="35" t="inlineStr">
        <is>
          <t>1 x Leros-1b main engine</t>
        </is>
      </c>
      <c r="AU18" s="47">
        <f>IFERROR(MAX(0,AS18-1),"n/a")</f>
        <v/>
      </c>
      <c r="AV18" s="35" t="inlineStr">
        <is>
          <t>SPIN-STABILISED, so m = 2 and the minimum set is 3, giving a best case of 9 - unusually high for only 12 thrusters. k = 4 is published ('mounted on four rocket engine modules'), giving worst case 2. Juno also has no TVC at all (fixed main engine), so the RCS is the sole attitude actuator tier and these bounds are the whole story for the spacecraft.</t>
        </is>
      </c>
      <c r="AW18" s="35" t="inlineStr">
        <is>
          <t>REDUNDANCY 0. The single Leros-1b performed Jupiter Orbit Insertion; its failure would have meant a flyby instead of an orbital mission. Compounded by the engine being fixed (no gimbal) and by Juno's 56% propellant mass fraction - a large mass of propellant dependent on one engine.</t>
        </is>
      </c>
    </row>
    <row r="19" ht="104" customHeight="1">
      <c r="A19" s="35" t="inlineStr">
        <is>
          <t>Deep Space Probes</t>
        </is>
      </c>
      <c r="B19" s="35" t="inlineStr">
        <is>
          <t>Cassini (Cassini-Huygens)</t>
        </is>
      </c>
      <c r="C19" s="35" t="inlineStr">
        <is>
          <t>NASA / JPL / ESA / ASI</t>
        </is>
      </c>
      <c r="D19" s="35" t="inlineStr">
        <is>
          <t>Launch configuration</t>
        </is>
      </c>
      <c r="E19" s="35" t="inlineStr">
        <is>
          <t>Main Engine A/B, 445 N gimballed (MEB a cold spare, never used)</t>
        </is>
      </c>
      <c r="F19" s="61" t="n">
        <v>445</v>
      </c>
      <c r="G19" s="35" t="n">
        <v>2</v>
      </c>
      <c r="H19" s="62">
        <f>IFERROR(F19*G19,"n/d")</f>
        <v/>
      </c>
      <c r="I19" s="35" t="inlineStr">
        <is>
          <t>Monopropellant 1.0 N RCS thruster (2 branches x 8)</t>
        </is>
      </c>
      <c r="J19" s="61" t="n">
        <v>1</v>
      </c>
      <c r="K19" s="35" t="n">
        <v>16</v>
      </c>
      <c r="L19" s="62">
        <f>IFERROR(J19*K19,"n/d")</f>
        <v/>
      </c>
      <c r="M19" s="35" t="inlineStr">
        <is>
          <t>None</t>
        </is>
      </c>
      <c r="N19" s="61" t="n">
        <v>0</v>
      </c>
      <c r="O19" s="35" t="n">
        <v>0</v>
      </c>
      <c r="P19" s="62">
        <f>IFERROR(N19*O19,"n/d")</f>
        <v/>
      </c>
      <c r="Q19" s="63">
        <f>IFERROR(H19+L19+P19,"incomplete")</f>
        <v/>
      </c>
      <c r="R19" s="63">
        <f>IF(A19="Boosters",SUM(H19,P19),SUM(H19,L19,P19))</f>
        <v/>
      </c>
      <c r="S19" s="35">
        <f>IF(A19="Boosters",IF(AND(ISNUMBER(H19),ISNUMBER(P19)),"complete","PARTIAL"),IF(ISNUMBER(Q19),"complete","PARTIAL"))</f>
        <v/>
      </c>
      <c r="T19" s="64" t="n">
        <v>5574</v>
      </c>
      <c r="U19" s="64" t="n">
        <v>0</v>
      </c>
      <c r="V19" s="65">
        <f>IFERROR(T19-U19,"n/d")</f>
        <v/>
      </c>
      <c r="W19" s="64" t="n">
        <v>2523</v>
      </c>
      <c r="X19" s="65">
        <f>IFERROR(V19-W19,"n/d")</f>
        <v/>
      </c>
      <c r="Y19" s="65">
        <f>IFERROR(V19*g0,"n/d")</f>
        <v/>
      </c>
      <c r="Z19" s="66">
        <f>IF(AND(S19="PARTIAL",R19=0),"n/d",IFERROR(R19/Y19,"n/d"))</f>
        <v/>
      </c>
      <c r="AA19" s="67">
        <f>IFERROR(X19/V19,"n/d")</f>
        <v/>
      </c>
      <c r="AB19" s="68">
        <f>IFERROR(V19/W19,IFERROR(V19/(V19-X19),"n/d"))</f>
        <v/>
      </c>
      <c r="AC19" s="35" t="inlineStr">
        <is>
          <t>n/d</t>
        </is>
      </c>
      <c r="AD19" s="44">
        <f>IFERROR(AC19*g0*LN(AB19),"n/d")</f>
        <v/>
      </c>
      <c r="AE19" s="35" t="inlineStr">
        <is>
          <t>Direct - primary doc read</t>
        </is>
      </c>
      <c r="AF19" s="35" t="inlineStr">
        <is>
          <t>REDUNDANCY MATTERS HERE: only ONE of the two 445 N main engines and only ONE of the two 8-thruster RCS branches is ever live. Installed thrust = 906 N; OPERATIONAL thrust = 445 + 8 = 453 N, i.e. half. JPL's own documents are mutually inconsistent on mass (orbiter 5,300 kg + Huygens 350 kg vs. total 5,574 kg / dry 2,523 kg in the same lithograph); the self-consistent 5,574/2,523 pair is used.</t>
        </is>
      </c>
      <c r="AG19" s="35" t="inlineStr">
        <is>
          <t>NASA JPL DESCANSO 17: 'two 445 N gimballed thrusters, Main Engine A (MEA) and a redundant Main Engine B (MEB). MEB was never used': https://descanso.jpl.nasa.gov/DPSummary/DESCANSO17_Cassini_RevA.pdf</t>
        </is>
      </c>
      <c r="AH19" s="35" t="inlineStr">
        <is>
          <t>Same DESCANSO 17: 'The RCS consisted of two branches of four coupled +/-Y-facing and four uncoupled -Z-facing 1.0 N thrusters'</t>
        </is>
      </c>
      <c r="AI19" s="35" t="inlineStr">
        <is>
          <t>NASA JPL Cassini-Huygens lithograph (JPL 400-856A): dry mass 2,523 kg incl. Huygens; total with propellant 5,574 kg: https://solarsystem.nasa.gov/system/downloadable_items/1943_spacecraft.pdf</t>
        </is>
      </c>
      <c r="AJ19" s="35" t="inlineStr">
        <is>
          <t>Attitude tier: 16 x 1.0 N monopropellant RCS thrusters (8 per branch)</t>
        </is>
      </c>
      <c r="AK19" s="45" t="n">
        <v>16</v>
      </c>
      <c r="AL19" s="45" t="n">
        <v>4</v>
      </c>
      <c r="AM19" s="45" t="n">
        <v>3</v>
      </c>
      <c r="AN19" s="46">
        <f>IFERROR(AM19+1,"n/a")</f>
        <v/>
      </c>
      <c r="AO19" s="47">
        <f>IFERROR(MAX(0,AK19-AN19),"n/a")</f>
        <v/>
      </c>
      <c r="AP19" s="47">
        <f>IFERROR(MAX(0,FLOOR(AK19/AL19,1)-1),"n/a")</f>
        <v/>
      </c>
      <c r="AQ19" s="46">
        <f>IF(A19="Boosters",IFERROR(MAX(0,MIN(G19-1,FLOOR((R19-T19*g0)/F19,1))),"n/a"),"n/a - not a liftoff vehicle")</f>
        <v/>
      </c>
      <c r="AR19" s="46">
        <f>IF(A19="Boosters",IFERROR(MAX(0,MIN(G19-1,FLOOR((R19-1.2*T19*g0)/F19,1))),"n/a"),"n/a - not a liftoff vehicle")</f>
        <v/>
      </c>
      <c r="AS19" s="45" t="n">
        <v>2</v>
      </c>
      <c r="AT19" s="35" t="inlineStr">
        <is>
          <t>2 x 445 N main engines (MEA + MEB)</t>
        </is>
      </c>
      <c r="AU19" s="47">
        <f>IFERROR(MAX(0,AS19-1),"n/a")</f>
        <v/>
      </c>
      <c r="AV19" s="35" t="inlineStr">
        <is>
          <t>Counted at UNIT level across all 16 thrusters per your instruction, k = 4 from the coupled +/-Y and uncoupled -Z groupings. CAVEAT YOU SHOULD KNOW: only one 8-thruster branch is ever live, so the operationally available redundancy is roughly half these numbers (best ~4, worst ~1). The branch structure is precisely the system-level A/B redundancy you excluded - the unit-level figures shown are therefore optimistic relative to how Cassini was actually flown.</t>
        </is>
      </c>
      <c r="AW19" s="35" t="inlineStr">
        <is>
          <t>Redundancy 1, and this is genuine one-for-one sparing: MEB was a full cold spare of identical design that was never used across the whole 20-year mission. One of the few true single-unit backups in this sheet.</t>
        </is>
      </c>
    </row>
    <row r="20" ht="104" customHeight="1">
      <c r="A20" s="35" t="inlineStr">
        <is>
          <t>Deep Space Probes</t>
        </is>
      </c>
      <c r="B20" s="35" t="inlineStr">
        <is>
          <t>New Horizons</t>
        </is>
      </c>
      <c r="C20" s="35" t="inlineStr">
        <is>
          <t>NASA / JHU-APL</t>
        </is>
      </c>
      <c r="D20" s="35" t="inlineStr">
        <is>
          <t>Launch configuration</t>
        </is>
      </c>
      <c r="E20" s="35" t="inlineStr">
        <is>
          <t>4.4 N hydrazine thruster (course correction)</t>
        </is>
      </c>
      <c r="F20" s="61" t="n">
        <v>4.4</v>
      </c>
      <c r="G20" s="35" t="n">
        <v>4</v>
      </c>
      <c r="H20" s="62">
        <f>IFERROR(F20*G20,"n/d")</f>
        <v/>
      </c>
      <c r="I20" s="35" t="inlineStr">
        <is>
          <t>0.8 N hydrazine thruster (pointing, spin up/down)</t>
        </is>
      </c>
      <c r="J20" s="61" t="n">
        <v>0.8</v>
      </c>
      <c r="K20" s="35" t="n">
        <v>12</v>
      </c>
      <c r="L20" s="62">
        <f>IFERROR(J20*K20,"n/d")</f>
        <v/>
      </c>
      <c r="M20" s="35" t="inlineStr">
        <is>
          <t>None</t>
        </is>
      </c>
      <c r="N20" s="61" t="n">
        <v>0</v>
      </c>
      <c r="O20" s="35" t="n">
        <v>0</v>
      </c>
      <c r="P20" s="62">
        <f>IFERROR(N20*O20,"n/d")</f>
        <v/>
      </c>
      <c r="Q20" s="63">
        <f>IFERROR(H20+L20+P20,"incomplete")</f>
        <v/>
      </c>
      <c r="R20" s="63">
        <f>IF(A20="Boosters",SUM(H20,P20),SUM(H20,L20,P20))</f>
        <v/>
      </c>
      <c r="S20" s="35">
        <f>IF(A20="Boosters",IF(AND(ISNUMBER(H20),ISNUMBER(P20)),"complete","PARTIAL"),IF(ISNUMBER(Q20),"complete","PARTIAL"))</f>
        <v/>
      </c>
      <c r="T20" s="64" t="n">
        <v>478</v>
      </c>
      <c r="U20" s="64" t="n">
        <v>0</v>
      </c>
      <c r="V20" s="65">
        <f>IFERROR(T20-U20,"n/d")</f>
        <v/>
      </c>
      <c r="W20" s="64" t="n"/>
      <c r="X20" s="65" t="n">
        <v>77</v>
      </c>
      <c r="Y20" s="65">
        <f>IFERROR(V20*g0,"n/d")</f>
        <v/>
      </c>
      <c r="Z20" s="66">
        <f>IF(AND(S20="PARTIAL",R20=0),"n/d",IFERROR(R20/Y20,"n/d"))</f>
        <v/>
      </c>
      <c r="AA20" s="67">
        <f>IFERROR(X20/V20,"n/d")</f>
        <v/>
      </c>
      <c r="AB20" s="68">
        <f>IFERROR(V20/W20,IFERROR(V20/(V20-X20),"n/d"))</f>
        <v/>
      </c>
      <c r="AC20" s="35" t="inlineStr">
        <is>
          <t>n/d</t>
        </is>
      </c>
      <c r="AD20" s="44">
        <f>IFERROR(AC20*g0*LN(AB20),"n/d")</f>
        <v/>
      </c>
      <c r="AE20" s="35" t="inlineStr">
        <is>
          <t>Official page via search summary - re-verify</t>
        </is>
      </c>
      <c r="AF20" s="35" t="inlineStr">
        <is>
          <t>No true main engine - the four 4.4 N thrusters serve that role, so the 'main' tier here is really a larger class of the same monopropellant thruster. 16 thrusters in 8 locations, 27.2 N total. Lowest PMF of the deep-space set (16.1%) because New Horizons was a pure flyby: it needed no orbit-insertion burn, which is exactly why it could be launched so fast.</t>
        </is>
      </c>
      <c r="AG20" s="35" t="inlineStr">
        <is>
          <t>NASA/JHU-APL New Horizons spacecraft page: 'Four of these thrusters, each of which provides 4.4 Newtons (1 pound) of force are used for course corrections': https://newhorizons.jhuapl.edu/Mission/Spacecraft.php</t>
        </is>
      </c>
      <c r="AH20" s="35" t="inlineStr">
        <is>
          <t>Same page: 'twelve smaller thrusters - each providing 0.8 Newtons of thrust - to point, spin up and spin down the spacecraft'</t>
        </is>
      </c>
      <c r="AI20" s="35" t="inlineStr">
        <is>
          <t>NASA New Horizons Launch Press Kit: 'Launch weight: 478 kilograms (1,054 pounds); includes 77 kilograms (170 pounds) of hydrazine propellant': https://www.nasa.gov/wp-content/uploads/2015/03/139889main_presskit12_05.pdf</t>
        </is>
      </c>
      <c r="AJ20" s="35" t="inlineStr">
        <is>
          <t>Attitude tier: 12 x 0.8 N hydrazine monopropellant thrusters (the 4 x 4.4 N units are the propulsive tier)</t>
        </is>
      </c>
      <c r="AK20" s="45" t="n">
        <v>12</v>
      </c>
      <c r="AL20" s="45" t="n">
        <v>8</v>
      </c>
      <c r="AM20" s="45" t="n">
        <v>3</v>
      </c>
      <c r="AN20" s="46">
        <f>IFERROR(AM20+1,"n/a")</f>
        <v/>
      </c>
      <c r="AO20" s="47">
        <f>IFERROR(MAX(0,AK20-AN20),"n/a")</f>
        <v/>
      </c>
      <c r="AP20" s="47">
        <f>IFERROR(MAX(0,FLOOR(AK20/AL20,1)-1),"n/a")</f>
        <v/>
      </c>
      <c r="AQ20" s="46">
        <f>IF(A20="Boosters",IFERROR(MAX(0,MIN(G20-1,FLOOR((R20-T20*g0)/F20,1))),"n/a"),"n/a - not a liftoff vehicle")</f>
        <v/>
      </c>
      <c r="AR20" s="46">
        <f>IF(A20="Boosters",IFERROR(MAX(0,MIN(G20-1,FLOOR((R20-1.2*T20*g0)/F20,1))),"n/a"),"n/a - not a liftoff vehicle")</f>
        <v/>
      </c>
      <c r="AS20" s="45" t="n">
        <v>4</v>
      </c>
      <c r="AT20" s="35" t="inlineStr">
        <is>
          <t>4 x 4.4 N hydrazine course-correction thrusters</t>
        </is>
      </c>
      <c r="AU20" s="47">
        <f>IFERROR(MAX(0,AS20-1),"n/a")</f>
        <v/>
      </c>
      <c r="AV20" s="35" t="inlineStr">
        <is>
          <t>k = 8 is published ('mounted across the spacecraft in eight locations'). The fine dispersal gives a low worst case (1) because each location carries only two thrusters, but the mixed thrust classes complicate this: the four 4.4 N units are not interchangeable with the twelve 0.8 N units, so a loss among the larger class degrades trajectory-correction authority specifically. The single-figure bound understates that nuance.</t>
        </is>
      </c>
      <c r="AW20" s="35" t="inlineStr">
        <is>
          <t>Redundancy 3. No dedicated main engine - the four larger thrusters perform trajectory correction, and with four of them the propulsive tier is comparatively robust. This mattered: precise TCMs were what delivered the Pluto and Arrokoth encounters.</t>
        </is>
      </c>
    </row>
    <row r="21" ht="104" customHeight="1">
      <c r="A21" s="35" t="inlineStr">
        <is>
          <t>Deep Space Probes</t>
        </is>
      </c>
      <c r="B21" s="35" t="inlineStr">
        <is>
          <t>Europa Clipper</t>
        </is>
      </c>
      <c r="C21" s="35" t="inlineStr">
        <is>
          <t>NASA / JPL / APL</t>
        </is>
      </c>
      <c r="D21" s="35" t="inlineStr">
        <is>
          <t>Launch configuration</t>
        </is>
      </c>
      <c r="E21" s="35" t="inlineStr">
        <is>
          <t>27.5 N engine (24 installed; max 8 fired simultaneously)</t>
        </is>
      </c>
      <c r="F21" s="61" t="n">
        <v>27.5</v>
      </c>
      <c r="G21" s="35" t="n">
        <v>24</v>
      </c>
      <c r="H21" s="62">
        <f>IFERROR(F21*G21,"n/d")</f>
        <v/>
      </c>
      <c r="I21" s="35" t="inlineStr">
        <is>
          <t>Same engine set - no separate RCS tier</t>
        </is>
      </c>
      <c r="J21" s="61" t="n">
        <v>0</v>
      </c>
      <c r="K21" s="35" t="n">
        <v>0</v>
      </c>
      <c r="L21" s="62">
        <f>IFERROR(J21*K21,"n/d")</f>
        <v/>
      </c>
      <c r="M21" s="35" t="inlineStr">
        <is>
          <t>None</t>
        </is>
      </c>
      <c r="N21" s="61" t="n">
        <v>0</v>
      </c>
      <c r="O21" s="35" t="n">
        <v>0</v>
      </c>
      <c r="P21" s="62">
        <f>IFERROR(N21*O21,"n/d")</f>
        <v/>
      </c>
      <c r="Q21" s="63">
        <f>IFERROR(H21+L21+P21,"incomplete")</f>
        <v/>
      </c>
      <c r="R21" s="63">
        <f>IF(A21="Boosters",SUM(H21,P21),SUM(H21,L21,P21))</f>
        <v/>
      </c>
      <c r="S21" s="35">
        <f>IF(A21="Boosters",IF(AND(ISNUMBER(H21),ISNUMBER(P21)),"complete","PARTIAL"),IF(ISNUMBER(Q21),"complete","PARTIAL"))</f>
        <v/>
      </c>
      <c r="T21" s="64" t="n">
        <v>5800</v>
      </c>
      <c r="U21" s="64" t="n">
        <v>0</v>
      </c>
      <c r="V21" s="65">
        <f>IFERROR(T21-U21,"n/d")</f>
        <v/>
      </c>
      <c r="W21" s="64" t="n"/>
      <c r="X21" s="65" t="n">
        <v>2750</v>
      </c>
      <c r="Y21" s="65">
        <f>IFERROR(V21*g0,"n/d")</f>
        <v/>
      </c>
      <c r="Z21" s="66">
        <f>IF(AND(S21="PARTIAL",R21=0),"n/d",IFERROR(R21/Y21,"n/d"))</f>
        <v/>
      </c>
      <c r="AA21" s="67">
        <f>IFERROR(X21/V21,"n/d")</f>
        <v/>
      </c>
      <c r="AB21" s="68">
        <f>IFERROR(V21/W21,IFERROR(V21/(V21-X21),"n/d"))</f>
        <v/>
      </c>
      <c r="AC21" s="35" t="inlineStr">
        <is>
          <t>n/d</t>
        </is>
      </c>
      <c r="AD21" s="44">
        <f>IFERROR(AC21*g0*LN(AB21),"n/d")</f>
        <v/>
      </c>
      <c r="AE21" s="35" t="inlineStr">
        <is>
          <t>Official page via search summary - re-verify</t>
        </is>
      </c>
      <c r="AF21" s="35" t="inlineStr">
        <is>
          <t>ARCHITECTURALLY DIFFERENT: no main-engine/RCS split at all - one homogeneous set of 24 x 27.5 N engines does both jobs. Installed thrust 660 N, but NASA states a MAXIMUM SIMULTANEOUS thrust of 220 N (8 engines at once), so the real manoeuvring T/W is one third of the value computed here. PMF 47.4%.</t>
        </is>
      </c>
      <c r="AG21" s="35" t="inlineStr">
        <is>
          <t>NASA JPL Europa Clipper press kit: 'The system's 24 engines, each capable of generating 27.5 newtons of thrust, are used up to eight at a time for a maximum thrust of 220 newtons': https://www.jpl.nasa.gov/press-kits/europa-clipper/mission/spacecraft/</t>
        </is>
      </c>
      <c r="AH21" s="35" t="inlineStr">
        <is>
          <t>n/a - the same 24 engines provide attitude control</t>
        </is>
      </c>
      <c r="AI21" s="35" t="inlineStr">
        <is>
          <t>Same press kit: '~12,800 pounds (about 5,800 kilograms), including about 6,060 pounds (about 2,750 kilograms) of propellant'</t>
        </is>
      </c>
      <c r="AJ21" s="35" t="inlineStr">
        <is>
          <t>Propulsion tier: 24 x 27.5 N engines (attitude + translation)</t>
        </is>
      </c>
      <c r="AK21" s="45" t="n">
        <v>24</v>
      </c>
      <c r="AL21" s="45" t="n">
        <v>6</v>
      </c>
      <c r="AM21" s="45" t="n">
        <v>3</v>
      </c>
      <c r="AN21" s="46">
        <f>IFERROR(AM21+1,"n/a")</f>
        <v/>
      </c>
      <c r="AO21" s="47">
        <f>IFERROR(MAX(0,AK21-AN21),"n/a")</f>
        <v/>
      </c>
      <c r="AP21" s="47">
        <f>IFERROR(MAX(0,FLOOR(AK21/AL21,1)-1),"n/a")</f>
        <v/>
      </c>
      <c r="AQ21" s="46">
        <f>IF(A21="Boosters",IFERROR(MAX(0,MIN(G21-1,FLOOR((R21-T21*g0)/F21,1))),"n/a"),"n/a - not a liftoff vehicle")</f>
        <v/>
      </c>
      <c r="AR21" s="46">
        <f>IF(A21="Boosters",IFERROR(MAX(0,MIN(G21-1,FLOOR((R21-1.2*T21*g0)/F21,1))),"n/a"),"n/a - not a liftoff vehicle")</f>
        <v/>
      </c>
      <c r="AS21" s="45" t="inlineStr">
        <is>
          <t>n/a</t>
        </is>
      </c>
      <c r="AT21" s="35" t="inlineStr">
        <is>
          <t>none separable - the 24 engines are already the attitude tier</t>
        </is>
      </c>
      <c r="AU21" s="47">
        <f>IFERROR(MAX(0,AS21-1),"n/a")</f>
        <v/>
      </c>
      <c r="AV21" s="35" t="inlineStr">
        <is>
          <t>HOMOGENEOUS ARCHITECTURE is a redundancy advantage: with no main/RCS split, all 24 identical engines are mutually substitutable, so the best case of 20 is more physically plausible here than for a mixed-thruster spacecraft. k = 6 is assumed. Additional slack comes from the operating rule that only 8 of 24 fire at once - the system is thrust-limited, not actuator-limited, so failures degrade redundancy long before performance.</t>
        </is>
      </c>
      <c r="AW21" s="35" t="inlineStr">
        <is>
          <t>NO SEPARATE PROPULSIVE TIER. Europa Clipper has no main engine: the same 24 x 27.5 N engines that hold attitude also perform every translational burn. Counting them here as well as in the attitude tier would credit one set of hardware twice, which is what an earlier revision of this sheet did. They are counted once, in the attitude tier, and the propulsive term contributes nothing. OLD (wrong) value was 23. Redundancy 23 by count - nominally the highest in the sheet, because the architecture is homogeneous and every engine is substitutable. Temper it with the operating rule that only 8 fire at once: the system is thrust-limited, so enough failures eventually stop it reaching the 220 N needed for large burns even while control authority survives.</t>
        </is>
      </c>
    </row>
    <row r="22" ht="104" customHeight="1">
      <c r="A22" s="35" t="inlineStr">
        <is>
          <t>Deep Space Probes</t>
        </is>
      </c>
      <c r="B22" s="35" t="inlineStr">
        <is>
          <t>Voyager 1</t>
        </is>
      </c>
      <c r="C22" s="35" t="inlineStr">
        <is>
          <t>NASA / JPL</t>
        </is>
      </c>
      <c r="D22" s="35" t="inlineStr">
        <is>
          <t>Launch configuration (1977)</t>
        </is>
      </c>
      <c r="E22" s="35" t="inlineStr">
        <is>
          <t>None - no main engine (propulsion module jettisoned after launch)</t>
        </is>
      </c>
      <c r="F22" s="61" t="n">
        <v>0</v>
      </c>
      <c r="G22" s="35" t="n">
        <v>0</v>
      </c>
      <c r="H22" s="62">
        <f>IFERROR(F22*G22,"n/d")</f>
        <v/>
      </c>
      <c r="I22" s="35" t="inlineStr">
        <is>
          <t>Hydrazine thruster (12 attitude control + 4 TCM)</t>
        </is>
      </c>
      <c r="J22" s="61" t="n">
        <v>0.85</v>
      </c>
      <c r="K22" s="35" t="n">
        <v>16</v>
      </c>
      <c r="L22" s="62">
        <f>IFERROR(J22*K22,"n/d")</f>
        <v/>
      </c>
      <c r="M22" s="35" t="inlineStr">
        <is>
          <t>None</t>
        </is>
      </c>
      <c r="N22" s="61" t="n">
        <v>0</v>
      </c>
      <c r="O22" s="35" t="n">
        <v>0</v>
      </c>
      <c r="P22" s="62">
        <f>IFERROR(N22*O22,"n/d")</f>
        <v/>
      </c>
      <c r="Q22" s="63">
        <f>IFERROR(H22+L22+P22,"incomplete")</f>
        <v/>
      </c>
      <c r="R22" s="63">
        <f>IF(A22="Boosters",SUM(H22,P22),SUM(H22,L22,P22))</f>
        <v/>
      </c>
      <c r="S22" s="35">
        <f>IF(A22="Boosters",IF(AND(ISNUMBER(H22),ISNUMBER(P22)),"complete","PARTIAL"),IF(ISNUMBER(Q22),"complete","PARTIAL"))</f>
        <v/>
      </c>
      <c r="T22" s="64" t="n">
        <v>815</v>
      </c>
      <c r="U22" s="64" t="n">
        <v>0</v>
      </c>
      <c r="V22" s="65">
        <f>IFERROR(T22-U22,"n/d")</f>
        <v/>
      </c>
      <c r="W22" s="64" t="inlineStr">
        <is>
          <t>n/d</t>
        </is>
      </c>
      <c r="X22" s="65">
        <f>IFERROR(V22-W22,"n/d")</f>
        <v/>
      </c>
      <c r="Y22" s="65">
        <f>IFERROR(V22*g0,"n/d")</f>
        <v/>
      </c>
      <c r="Z22" s="66">
        <f>IF(AND(S22="PARTIAL",R22=0),"n/d",IFERROR(R22/Y22,"n/d"))</f>
        <v/>
      </c>
      <c r="AA22" s="67">
        <f>IFERROR(X22/V22,"n/d")</f>
        <v/>
      </c>
      <c r="AB22" s="68">
        <f>IFERROR(V22/W22,IFERROR(V22/(V22-X22),"n/d"))</f>
        <v/>
      </c>
      <c r="AC22" s="35" t="inlineStr">
        <is>
          <t>n/d</t>
        </is>
      </c>
      <c r="AD22" s="44">
        <f>IFERROR(AC22*g0*LN(AB22),"n/d")</f>
        <v/>
      </c>
      <c r="AE22" s="35" t="inlineStr">
        <is>
          <t>Official page via search summary - re-verify</t>
        </is>
      </c>
      <c r="AF22" s="35" t="inlineStr">
        <is>
          <t>All propulsion is the RCS tier, so per your rule T/W is computed from the 16 thrusters alone. JPL describes thrust only qualitatively as 'three ounces' (~0.85 N); the 0.89 N figure quoted widely elsewhere is NOT in any official JPL source, so 0.85 N is used. Launch mass 815 kg is stated 'including hydrazine' but the hydrazine load is not broken out, so PMF cannot be computed.</t>
        </is>
      </c>
      <c r="AG22" s="35" t="inlineStr">
        <is>
          <t>n/a - no main engine</t>
        </is>
      </c>
      <c r="AH22" s="35" t="inlineStr">
        <is>
          <t>NASA JPL Voyager FAQ: 12 attitude-control and 4 trajectory-correction hydrazine thrusters; 'each of the Voyager thrusters has a thrust of only three ounces': https://science.nasa.gov/mission/voyager/frequently-asked-questions/</t>
        </is>
      </c>
      <c r="AI22" s="35" t="inlineStr">
        <is>
          <t>NASA JPL Voyager fact sheet: launch mass including hydrazine 815 kg: https://science.nasa.gov/mission/voyager/fact-sheet/</t>
        </is>
      </c>
      <c r="AJ22" s="35" t="inlineStr">
        <is>
          <t>Attitude tier: 12 hydrazine monopropellant attitude-control thrusters (the 4 TCM units are the propulsive tier)</t>
        </is>
      </c>
      <c r="AK22" s="45" t="n">
        <v>12</v>
      </c>
      <c r="AL22" s="45" t="n">
        <v>4</v>
      </c>
      <c r="AM22" s="45" t="n">
        <v>3</v>
      </c>
      <c r="AN22" s="46">
        <f>IFERROR(AM22+1,"n/a")</f>
        <v/>
      </c>
      <c r="AO22" s="47">
        <f>IFERROR(MAX(0,AK22-AN22),"n/a")</f>
        <v/>
      </c>
      <c r="AP22" s="47">
        <f>IFERROR(MAX(0,FLOOR(AK22/AL22,1)-1),"n/a")</f>
        <v/>
      </c>
      <c r="AQ22" s="46">
        <f>IF(A22="Boosters",IFERROR(MAX(0,MIN(G22-1,FLOOR((R22-T22*g0)/F22,1))),"n/a"),"n/a - not a liftoff vehicle")</f>
        <v/>
      </c>
      <c r="AR22" s="46">
        <f>IF(A22="Boosters",IFERROR(MAX(0,MIN(G22-1,FLOOR((R22-1.2*T22*g0)/F22,1))),"n/a"),"n/a - not a liftoff vehicle")</f>
        <v/>
      </c>
      <c r="AS22" s="45" t="n">
        <v>4</v>
      </c>
      <c r="AT22" s="35" t="inlineStr">
        <is>
          <t>4 x hydrazine trajectory-correction-manoeuvre thrusters</t>
        </is>
      </c>
      <c r="AU22" s="47">
        <f>IFERROR(MAX(0,AS22-1),"n/a")</f>
        <v/>
      </c>
      <c r="AV22" s="35" t="inlineStr">
        <is>
          <t>k = 4 assumed. Real flight history brackets these bounds usefully: Voyager 1 has outlived multiple thruster failures and clogging events over 48 years and has been commanded to swap between thruster sets, demonstrating that the true tolerated failure count sits well above the worst case of 3 - though those swaps were between redundant sets, i.e. system-level.</t>
        </is>
      </c>
      <c r="AW22" s="35" t="inlineStr">
        <is>
          <t>Redundancy 3. The 12 attitude-control thrusters are excluded from the propulsive count as they are fine-pointing actuators. Voyager 1 has in fact outlived several thruster failures and been commanded onto backup sets over 48 years.</t>
        </is>
      </c>
    </row>
  </sheetData>
  <autoFilter ref="A1:AW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2026-07-29T12:17:35Z</dcterms:created>
  <dcterms:modified xmlns:dcterms="http://purl.org/dc/terms/" xmlns:xsi="http://www.w3.org/2001/XMLSchema-instance" xsi:type="dcterms:W3CDTF">2026-08-03T23:48:18Z</dcterms:modified>
</cp:coreProperties>
</file>